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cripts/visitados/"/>
    </mc:Choice>
  </mc:AlternateContent>
  <xr:revisionPtr revIDLastSave="432" documentId="13_ncr:1_{6E80F397-A2DB-4ADD-AD36-8FA163C94664}" xr6:coauthVersionLast="47" xr6:coauthVersionMax="47" xr10:uidLastSave="{FD79F6F4-42EC-456A-8E54-AFB9A1CE6EBC}"/>
  <bookViews>
    <workbookView xWindow="-120" yWindow="-120" windowWidth="29040" windowHeight="15720" xr2:uid="{00000000-000D-0000-FFFF-FFFF00000000}"/>
  </bookViews>
  <sheets>
    <sheet name="vaciados por dia" sheetId="10" r:id="rId1"/>
    <sheet name="PlanificadosVaciados" sheetId="2" r:id="rId2"/>
    <sheet name="Promedio semanal" sheetId="5" r:id="rId3"/>
    <sheet name="Disponibilidad" sheetId="8" state="hidden" r:id="rId4"/>
    <sheet name="Basurales" sheetId="4" state="hidden" r:id="rId5"/>
  </sheets>
  <definedNames>
    <definedName name="Tabla_total">PlanificadosVaciados!$A:$I</definedName>
  </definedNames>
  <calcPr calcId="191029"/>
  <pivotCaches>
    <pivotCache cacheId="0" r:id="rId6"/>
    <pivotCache cacheId="10" r:id="rId7"/>
  </pivotCaches>
  <extLst>
    <ext xmlns:x15="http://schemas.microsoft.com/office/spreadsheetml/2010/11/main" uri="{FCE2AD5D-F65C-4FA6-A056-5C36A1767C68}">
      <x15:dataModel>
        <x15:modelTables>
          <x15:modelTable id="Tabla_total_1cfec75c-c7ee-44d2-a16b-dfa6ee268139" name="Tabla_total" connection="Consulta - Tabla_tota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2" i="2" l="1"/>
  <c r="B953" i="2"/>
  <c r="B954" i="2"/>
  <c r="B955" i="2"/>
  <c r="B956" i="2"/>
  <c r="B957" i="2"/>
  <c r="B958" i="2"/>
  <c r="B959" i="2"/>
  <c r="B944" i="2"/>
  <c r="B945" i="2"/>
  <c r="B946" i="2"/>
  <c r="B947" i="2"/>
  <c r="B948" i="2"/>
  <c r="B949" i="2"/>
  <c r="B950" i="2"/>
  <c r="B951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2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Q95" i="2"/>
  <c r="Q61" i="2"/>
  <c r="Q112" i="2"/>
  <c r="Q46" i="2"/>
  <c r="Q18" i="2"/>
  <c r="Q28" i="2"/>
  <c r="Q116" i="2"/>
  <c r="Q39" i="2"/>
  <c r="Q51" i="2"/>
  <c r="Q83" i="2"/>
  <c r="Q14" i="2"/>
  <c r="Q52" i="2"/>
  <c r="Q69" i="2"/>
  <c r="Q111" i="2"/>
  <c r="Q78" i="2"/>
  <c r="Q17" i="2"/>
  <c r="Q49" i="2"/>
  <c r="Q109" i="2"/>
  <c r="Q20" i="2"/>
  <c r="Q70" i="2"/>
  <c r="Q44" i="2"/>
  <c r="Q40" i="2"/>
  <c r="Q50" i="2"/>
  <c r="Q63" i="2"/>
  <c r="Q75" i="2"/>
  <c r="Q104" i="2"/>
  <c r="Q13" i="2"/>
  <c r="Q117" i="2"/>
  <c r="Q105" i="2"/>
  <c r="Q56" i="2"/>
  <c r="Q71" i="2"/>
  <c r="Q119" i="2"/>
  <c r="Q8" i="2"/>
  <c r="Q107" i="2"/>
  <c r="Q29" i="2"/>
  <c r="Q25" i="2"/>
  <c r="Q37" i="2"/>
  <c r="Q22" i="2"/>
  <c r="Q103" i="2"/>
  <c r="Q106" i="2"/>
  <c r="Q23" i="2"/>
  <c r="Q72" i="2"/>
  <c r="Q115" i="2"/>
  <c r="Q62" i="2"/>
  <c r="Q58" i="2"/>
  <c r="Q47" i="2"/>
  <c r="Q76" i="2"/>
  <c r="Q108" i="2"/>
  <c r="Q82" i="2"/>
  <c r="Q100" i="2"/>
  <c r="Q79" i="2"/>
  <c r="Q102" i="2"/>
  <c r="Q16" i="2"/>
  <c r="Q81" i="2"/>
  <c r="Q90" i="2"/>
  <c r="Q93" i="2"/>
  <c r="Q114" i="2"/>
  <c r="Q67" i="2"/>
  <c r="Q99" i="2"/>
  <c r="Q54" i="2"/>
  <c r="Q66" i="2"/>
  <c r="Q118" i="2"/>
  <c r="Q38" i="2"/>
  <c r="Q87" i="2"/>
  <c r="Q96" i="2"/>
  <c r="Q64" i="2"/>
  <c r="Q88" i="2"/>
  <c r="Q11" i="2"/>
  <c r="Q35" i="2"/>
  <c r="Q59" i="2"/>
  <c r="Q36" i="2"/>
  <c r="Q60" i="2"/>
  <c r="Q85" i="2"/>
  <c r="Q9" i="2"/>
  <c r="Q65" i="2"/>
  <c r="Q77" i="2"/>
  <c r="Q89" i="2"/>
  <c r="Q101" i="2"/>
  <c r="Q113" i="2"/>
  <c r="Q12" i="2"/>
  <c r="Q24" i="2"/>
  <c r="Q48" i="2"/>
  <c r="Q32" i="2"/>
  <c r="Q98" i="2"/>
  <c r="Q57" i="2"/>
  <c r="Q10" i="2"/>
  <c r="Q26" i="2"/>
  <c r="Q92" i="2"/>
  <c r="Q91" i="2"/>
  <c r="Q27" i="2"/>
  <c r="Q31" i="2"/>
  <c r="Q21" i="2"/>
  <c r="Q34" i="2"/>
  <c r="Q68" i="2"/>
  <c r="Q80" i="2"/>
  <c r="Q15" i="2"/>
  <c r="Q7" i="2"/>
  <c r="Q73" i="2"/>
  <c r="Q74" i="2"/>
  <c r="Q45" i="2"/>
  <c r="Q94" i="2"/>
  <c r="Q53" i="2"/>
  <c r="Q43" i="2"/>
  <c r="Q110" i="2"/>
  <c r="Q41" i="2"/>
  <c r="Q19" i="2"/>
  <c r="Q97" i="2"/>
  <c r="Q33" i="2"/>
  <c r="Q30" i="2"/>
  <c r="Q42" i="2"/>
  <c r="Q84" i="2"/>
  <c r="Q55" i="2"/>
  <c r="Q86" i="2"/>
  <c r="K6" i="2" l="1"/>
  <c r="R548" i="2"/>
  <c r="R547" i="2"/>
  <c r="R546" i="2"/>
  <c r="P548" i="2"/>
  <c r="P547" i="2"/>
  <c r="P546" i="2"/>
  <c r="N548" i="2"/>
  <c r="N547" i="2"/>
  <c r="N546" i="2"/>
  <c r="M548" i="2"/>
  <c r="M547" i="2"/>
  <c r="M546" i="2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Q6" i="2"/>
  <c r="S546" i="2" l="1"/>
  <c r="S547" i="2"/>
  <c r="Q548" i="2"/>
  <c r="Q546" i="2"/>
  <c r="O546" i="2"/>
  <c r="O548" i="2"/>
  <c r="S548" i="2"/>
  <c r="Q547" i="2"/>
  <c r="O5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F694EC-B0DF-4043-8060-4CD4459778DD}" name="Consulta - Tabla_total" description="Conexión a la consulta 'Tabla_total' en el libro." type="100" refreshedVersion="8" minRefreshableVersion="5">
    <extLst>
      <ext xmlns:x15="http://schemas.microsoft.com/office/spreadsheetml/2010/11/main" uri="{DE250136-89BD-433C-8126-D09CA5730AF9}">
        <x15:connection id="a6b7e927-53b6-4afe-934b-536399740199"/>
      </ext>
    </extLst>
  </connection>
  <connection id="2" xr16:uid="{F1F98EF9-7B9A-49CA-B0D3-39E3E471D28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<sst xmlns="http://schemas.openxmlformats.org/spreadsheetml/2006/main" count="2010" uniqueCount="117">
  <si>
    <t>FECHA</t>
  </si>
  <si>
    <t>MUNICIPIO</t>
  </si>
  <si>
    <t>PLANIFICADOS</t>
  </si>
  <si>
    <t>PROGRAMADOS</t>
  </si>
  <si>
    <t>VISITADOS</t>
  </si>
  <si>
    <t>NO VISITADOS</t>
  </si>
  <si>
    <t>VACIADOS</t>
  </si>
  <si>
    <t>NO VACIADOS</t>
  </si>
  <si>
    <t>A</t>
  </si>
  <si>
    <t>B</t>
  </si>
  <si>
    <t>C</t>
  </si>
  <si>
    <t>CH</t>
  </si>
  <si>
    <t>D</t>
  </si>
  <si>
    <t>E</t>
  </si>
  <si>
    <t>F</t>
  </si>
  <si>
    <t>G</t>
  </si>
  <si>
    <t>TONELADAS IM</t>
  </si>
  <si>
    <t>TONELADAS PRIVADOS</t>
  </si>
  <si>
    <t>TONELADAS TOTALES</t>
  </si>
  <si>
    <t>Privados</t>
  </si>
  <si>
    <t>N° Permiso</t>
  </si>
  <si>
    <t>Vencimiento del permiso</t>
  </si>
  <si>
    <t>Cooperativa Salir Adelante</t>
  </si>
  <si>
    <t>Cooperativa Social Tessa</t>
  </si>
  <si>
    <t>Vos con Voz</t>
  </si>
  <si>
    <t>Suma de PLANIFICADOS</t>
  </si>
  <si>
    <t>Suma de PROGRAMADOS</t>
  </si>
  <si>
    <t>Suma de VACIADOS</t>
  </si>
  <si>
    <t>Suma de VISITADOS</t>
  </si>
  <si>
    <t>Etiquetas de fila</t>
  </si>
  <si>
    <t>Total general</t>
  </si>
  <si>
    <t>Planificados 100%</t>
  </si>
  <si>
    <t>Promedio programados</t>
  </si>
  <si>
    <t>%promedio programados</t>
  </si>
  <si>
    <t>Promedio visitados</t>
  </si>
  <si>
    <t>% promedio visitados</t>
  </si>
  <si>
    <t>Promedio vaciados</t>
  </si>
  <si>
    <t>% Promedio vaciados</t>
  </si>
  <si>
    <t>Mes</t>
  </si>
  <si>
    <t>8/9/2025 - 14/9/2025</t>
  </si>
  <si>
    <t>15/9/2025 - 21/9/2025</t>
  </si>
  <si>
    <t>22/9/2025 - 28/9/2025</t>
  </si>
  <si>
    <t>29/9/2025 - 5/10/2025</t>
  </si>
  <si>
    <t>6/10/2025 - 12/10/2025</t>
  </si>
  <si>
    <t>13/10/2025 - 19/10/2025</t>
  </si>
  <si>
    <t>20/10/2025 - 26/10/2025</t>
  </si>
  <si>
    <t>27/10/2025 - 2/11/2025</t>
  </si>
  <si>
    <t xml:space="preserve">Promedio Visitados semanal </t>
  </si>
  <si>
    <t>Visitado &gt; Planificado</t>
  </si>
  <si>
    <t>(en blanco)</t>
  </si>
  <si>
    <t>CHOFERES</t>
  </si>
  <si>
    <t>CAMIONES UTILIZADOS</t>
  </si>
  <si>
    <t>DIA NUM</t>
  </si>
  <si>
    <t>DIA</t>
  </si>
  <si>
    <t>TURNOS</t>
  </si>
  <si>
    <t>CAMIONES DISPONIBLES</t>
  </si>
  <si>
    <t>AUXILIAR</t>
  </si>
  <si>
    <t>DENUNCIA</t>
  </si>
  <si>
    <t>TRIPULACION</t>
  </si>
  <si>
    <t>M</t>
  </si>
  <si>
    <t>V</t>
  </si>
  <si>
    <t>N</t>
  </si>
  <si>
    <t/>
  </si>
  <si>
    <t>lunes</t>
  </si>
  <si>
    <t>martes</t>
  </si>
  <si>
    <t>miércoles</t>
  </si>
  <si>
    <t>jueves</t>
  </si>
  <si>
    <t>viernes</t>
  </si>
  <si>
    <t>sábado</t>
  </si>
  <si>
    <t>domingo</t>
  </si>
  <si>
    <t>14/7/2025 - 20/7/2025</t>
  </si>
  <si>
    <t>21/7/2025 - 27/7/2025</t>
  </si>
  <si>
    <t>28/7/2025 - 3/8/2025</t>
  </si>
  <si>
    <t>4/8/2025 - 10/8/2025</t>
  </si>
  <si>
    <t>11/8/2025 - 17/8/2025</t>
  </si>
  <si>
    <t>18/8/2025 - 24/8/2025</t>
  </si>
  <si>
    <t>25/8/2025 - 31/8/2025</t>
  </si>
  <si>
    <t>1/9/2025 - 7/9/2025</t>
  </si>
  <si>
    <t>Suma de CAMIONES DISPONIBLES</t>
  </si>
  <si>
    <t>Suma de CHOFERES</t>
  </si>
  <si>
    <t>Suma de AUXILIAR</t>
  </si>
  <si>
    <t>Suma de CAMIONES UTILIZADOS</t>
  </si>
  <si>
    <t xml:space="preserve">VACIADOS </t>
  </si>
  <si>
    <t>Dia</t>
  </si>
  <si>
    <t>15/10/25 Miércoles</t>
  </si>
  <si>
    <t>16/10/25 Jueves</t>
  </si>
  <si>
    <t>17/10/25 Viernes</t>
  </si>
  <si>
    <t>18/10/25 Sábado</t>
  </si>
  <si>
    <t>19/10/25 Domingo</t>
  </si>
  <si>
    <t>20/10/25 Lunes</t>
  </si>
  <si>
    <t>21/10/25 Martes</t>
  </si>
  <si>
    <t>22/10/25 Miércoles</t>
  </si>
  <si>
    <t>23/10/25 Jueves</t>
  </si>
  <si>
    <t>24/10/25 Viernes</t>
  </si>
  <si>
    <t>25/10/25 Sábado</t>
  </si>
  <si>
    <t>26/10/25 Domingo</t>
  </si>
  <si>
    <t>27/10/25 Lunes</t>
  </si>
  <si>
    <t>28/10/25 Martes</t>
  </si>
  <si>
    <t>29/10/25 Miércoles</t>
  </si>
  <si>
    <t>30/10/25 Jueves</t>
  </si>
  <si>
    <t>31/10/25 Viernes</t>
  </si>
  <si>
    <t>01/11/25 Sábado</t>
  </si>
  <si>
    <t>02/11/25 Domingo</t>
  </si>
  <si>
    <t>03/11/25 Lunes</t>
  </si>
  <si>
    <t>04/11/25 Martes</t>
  </si>
  <si>
    <t>05/11/25 Miércoles</t>
  </si>
  <si>
    <t>(Varios elementos)</t>
  </si>
  <si>
    <t>06/11/25 Jueves</t>
  </si>
  <si>
    <t>07/11/25 Viernes</t>
  </si>
  <si>
    <t>08/11/25 Sábado</t>
  </si>
  <si>
    <t>09/11/25 Domingo</t>
  </si>
  <si>
    <t>10/11/25 Lunes</t>
  </si>
  <si>
    <t>3/11/2025 - 9/11/2025</t>
  </si>
  <si>
    <t>Fecha</t>
  </si>
  <si>
    <t>Total contenedores</t>
  </si>
  <si>
    <t>11/11/25 Martes</t>
  </si>
  <si>
    <t>12/11/25 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</si>
</sst>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4"/>
      <color rgb="FFFFFFFF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1"/>
      <color rgb="FF000000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6E3"/>
        <bgColor rgb="FF0046E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2" borderId="0" xfId="0" applyFont="1" applyFill="1"/>
    <xf numFmtId="165" fontId="4" fillId="0" borderId="0" xfId="0" applyNumberFormat="1" applyFont="1" applyAlignment="1">
      <alignment horizontal="left"/>
    </xf>
    <xf numFmtId="3" fontId="5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" fontId="0" fillId="0" borderId="1" xfId="0" applyNumberFormat="1" applyBorder="1"/>
    <xf numFmtId="9" fontId="0" fillId="0" borderId="1" xfId="1" applyFont="1" applyBorder="1"/>
    <xf numFmtId="9" fontId="0" fillId="0" borderId="3" xfId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8" xfId="0" applyNumberFormat="1" applyBorder="1"/>
    <xf numFmtId="9" fontId="0" fillId="0" borderId="8" xfId="1" applyFont="1" applyBorder="1"/>
    <xf numFmtId="9" fontId="0" fillId="0" borderId="9" xfId="1" applyFont="1" applyBorder="1"/>
    <xf numFmtId="17" fontId="0" fillId="0" borderId="2" xfId="0" applyNumberFormat="1" applyBorder="1"/>
    <xf numFmtId="17" fontId="0" fillId="0" borderId="7" xfId="0" applyNumberFormat="1" applyBorder="1"/>
    <xf numFmtId="14" fontId="0" fillId="0" borderId="0" xfId="0" applyNumberFormat="1" applyAlignment="1">
      <alignment horizontal="left"/>
    </xf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left" vertical="top"/>
    </xf>
    <xf numFmtId="0" fontId="8" fillId="0" borderId="0" xfId="0" applyFont="1"/>
    <xf numFmtId="0" fontId="0" fillId="0" borderId="0" xfId="0" applyNumberFormat="1"/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</cellXfs>
  <cellStyles count="2">
    <cellStyle name="Normal" xfId="0" builtinId="0"/>
    <cellStyle name="Porcentaje" xfId="1" builtinId="5"/>
  </cellStyles>
  <dxfs count="42">
    <dxf>
      <alignment horizontal="center"/>
    </dxf>
    <dxf>
      <alignment vertical="center"/>
    </dxf>
    <dxf>
      <alignment horizontal="left"/>
    </dxf>
    <dxf>
      <alignment vertical="top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horizontal="left"/>
    </dxf>
    <dxf>
      <alignment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alignment horizontal="center"/>
    </dxf>
    <dxf>
      <alignment vertical="center"/>
    </dxf>
    <dxf>
      <alignment horizontal="left"/>
    </dxf>
    <dxf>
      <alignment vertical="top"/>
    </dxf>
    <dxf>
      <numFmt numFmtId="19" formatCode="d/m/yyyy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[Informacion.xlsx]vaciados por dia!TablaDinámica1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Contenedore</a:t>
            </a:r>
            <a:r>
              <a:rPr lang="en-US" baseline="0"/>
              <a:t>s vaciados por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'vaciados por dia'!$B$3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'vaciados por dia'!$A$4:$A$33</c:f>
              <c:strCache>
                <c:ptCount val="29"/>
                <c:pt idx="0">
                  <c:v>15/10/25 Miércoles</c:v>
                </c:pt>
                <c:pt idx="1">
                  <c:v>16/10/25 Jueves</c:v>
                </c:pt>
                <c:pt idx="2">
                  <c:v>17/10/25 Viernes</c:v>
                </c:pt>
                <c:pt idx="3">
                  <c:v>18/10/25 Sábado</c:v>
                </c:pt>
                <c:pt idx="4">
                  <c:v>19/10/25 Domingo</c:v>
                </c:pt>
                <c:pt idx="5">
                  <c:v>20/10/25 Lunes</c:v>
                </c:pt>
                <c:pt idx="6">
                  <c:v>21/10/25 Martes</c:v>
                </c:pt>
                <c:pt idx="7">
                  <c:v>22/10/25 Miércoles</c:v>
                </c:pt>
                <c:pt idx="8">
                  <c:v>23/10/25 Jueves</c:v>
                </c:pt>
                <c:pt idx="9">
                  <c:v>24/10/25 Viernes</c:v>
                </c:pt>
                <c:pt idx="10">
                  <c:v>25/10/25 Sábado</c:v>
                </c:pt>
                <c:pt idx="11">
                  <c:v>26/10/25 Domingo</c:v>
                </c:pt>
                <c:pt idx="12">
                  <c:v>27/10/25 Lunes</c:v>
                </c:pt>
                <c:pt idx="13">
                  <c:v>28/10/25 Martes</c:v>
                </c:pt>
                <c:pt idx="14">
                  <c:v>29/10/25 Miércoles</c:v>
                </c:pt>
                <c:pt idx="15">
                  <c:v>30/10/25 Jueves</c:v>
                </c:pt>
                <c:pt idx="16">
                  <c:v>31/10/25 Viernes</c:v>
                </c:pt>
                <c:pt idx="17">
                  <c:v>01/11/25 Sábado</c:v>
                </c:pt>
                <c:pt idx="18">
                  <c:v>02/11/25 Domingo</c:v>
                </c:pt>
                <c:pt idx="19">
                  <c:v>03/11/25 Lunes</c:v>
                </c:pt>
                <c:pt idx="20">
                  <c:v>04/11/25 Martes</c:v>
                </c:pt>
                <c:pt idx="21">
                  <c:v>05/11/25 Miércoles</c:v>
                </c:pt>
                <c:pt idx="22">
                  <c:v>06/11/25 Jueves</c:v>
                </c:pt>
                <c:pt idx="23">
                  <c:v>07/11/25 Viernes</c:v>
                </c:pt>
                <c:pt idx="24">
                  <c:v>08/11/25 Sábado</c:v>
                </c:pt>
                <c:pt idx="25">
                  <c:v>09/11/25 Domingo</c:v>
                </c:pt>
                <c:pt idx="26">
                  <c:v>10/11/25 Lunes</c:v>
                </c:pt>
                <c:pt idx="27">
                  <c:v>11/11/25 Martes</c:v>
                </c:pt>
                <c:pt idx="28">
                  <c:v>12/11/25 Miércoles</c:v>
                </c:pt>
              </c:strCache>
            </c:strRef>
          </c:cat>
          <c:val>
            <c:numRef>
              <c:f>'vaciados por dia'!$B$4:$B$33</c:f>
              <c:numCache>
                <c:formatCode>General</c:formatCode>
                <c:ptCount val="29"/>
                <c:pt idx="0">
                  <c:v>3062</c:v>
                </c:pt>
                <c:pt idx="1">
                  <c:v>4324</c:v>
                </c:pt>
                <c:pt idx="2">
                  <c:v>3638</c:v>
                </c:pt>
                <c:pt idx="3">
                  <c:v>969</c:v>
                </c:pt>
                <c:pt idx="4">
                  <c:v>1953</c:v>
                </c:pt>
                <c:pt idx="5">
                  <c:v>2456</c:v>
                </c:pt>
                <c:pt idx="6">
                  <c:v>3320</c:v>
                </c:pt>
                <c:pt idx="7">
                  <c:v>3580</c:v>
                </c:pt>
                <c:pt idx="8">
                  <c:v>3710</c:v>
                </c:pt>
                <c:pt idx="9">
                  <c:v>3442</c:v>
                </c:pt>
                <c:pt idx="10">
                  <c:v>1602</c:v>
                </c:pt>
                <c:pt idx="11">
                  <c:v>2113</c:v>
                </c:pt>
                <c:pt idx="12">
                  <c:v>3122</c:v>
                </c:pt>
                <c:pt idx="13">
                  <c:v>1240</c:v>
                </c:pt>
                <c:pt idx="14">
                  <c:v>1848</c:v>
                </c:pt>
                <c:pt idx="15">
                  <c:v>3591</c:v>
                </c:pt>
                <c:pt idx="16">
                  <c:v>3506</c:v>
                </c:pt>
                <c:pt idx="17">
                  <c:v>1815</c:v>
                </c:pt>
                <c:pt idx="18">
                  <c:v>1738</c:v>
                </c:pt>
                <c:pt idx="19">
                  <c:v>3744</c:v>
                </c:pt>
                <c:pt idx="20">
                  <c:v>3494</c:v>
                </c:pt>
                <c:pt idx="21">
                  <c:v>3679</c:v>
                </c:pt>
                <c:pt idx="22">
                  <c:v>3984</c:v>
                </c:pt>
                <c:pt idx="23">
                  <c:v>3989</c:v>
                </c:pt>
                <c:pt idx="24">
                  <c:v>1864</c:v>
                </c:pt>
                <c:pt idx="25">
                  <c:v>1986</c:v>
                </c:pt>
                <c:pt idx="26">
                  <c:v>3449</c:v>
                </c:pt>
                <c:pt idx="27">
                  <c:v>3490</c:v>
                </c:pt>
                <c:pt idx="28">
                  <c:v>3257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7-4206-A58A-B437B1945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174287"/>
        <c:axId val="1862166127"/>
      </c:lineChart>
      <c:dateAx>
        <c:axId val="186217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862166127"/>
        <c:crosses val="autoZero"/>
        <c:auto val="0"/>
        <c:lblOffset val="100"/>
        <c:baseTimeUnit val="days"/>
      </c:dateAx>
      <c:valAx>
        <c:axId val="186216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Total contenedores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86217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Contenedores levantados últimos</a:t>
            </a:r>
            <a:r>
              <a:rPr lang="es-UY" baseline="0"/>
              <a:t> 4 </a:t>
            </a:r>
            <a:r>
              <a:rPr lang="es-UY"/>
              <a:t>lunes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'vaciados por dia'!$F$41</c:f>
              <c:strCache>
                <c:ptCount val="1"/>
                <c:pt idx="0">
                  <c:v>Total contenedores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'vaciados por dia'!$E$42:$E$45</c:f>
              <c:strCache>
                <c:ptCount val="4"/>
                <c:pt idx="0">
                  <c:v>20/10/25 Lunes</c:v>
                </c:pt>
                <c:pt idx="1">
                  <c:v>27/10/25 Lunes</c:v>
                </c:pt>
                <c:pt idx="2">
                  <c:v>03/11/25 Lunes</c:v>
                </c:pt>
                <c:pt idx="3">
                  <c:v>10/11/25 Lunes</c:v>
                </c:pt>
              </c:strCache>
            </c:strRef>
          </c:cat>
          <c:val>
            <c:numRef>
              <c:f>'vaciados por dia'!$F$42:$F$45</c:f>
              <c:numCache>
                <c:formatCode>General</c:formatCode>
                <c:ptCount val="4"/>
                <c:pt idx="0">
                  <c:v>2456</c:v>
                </c:pt>
                <c:pt idx="1">
                  <c:v>3122</c:v>
                </c:pt>
                <c:pt idx="2">
                  <c:v>3744</c:v>
                </c:pt>
                <c:pt idx="3">
                  <c:v>3449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E-4DC8-8D72-30B57EAFC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036256"/>
        <c:axId val="307035776"/>
      </c:lineChart>
      <c:catAx>
        <c:axId val="30703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07035776"/>
        <c:crosses val="autoZero"/>
        <c:auto val="1"/>
        <c:lblAlgn val="ctr"/>
        <c:lblOffset val="100"/>
        <c:noMultiLvlLbl val="0"/>
      </c:catAx>
      <c:valAx>
        <c:axId val="307035776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Contenedores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0703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[Informacion.xlsx]PlanificadosVaciados!TablaDinámica15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PlanificadosVaciados!$M$5</c:f>
              <c:strCache>
                <c:ptCount val="1"/>
                <c:pt idx="0">
                  <c:v>Suma de PLANIFICADOS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PlanificadosVaciados!$L$6:$L$129</c:f>
              <c:strCache>
                <c:ptCount val="123"/>
                <c:pt idx="0">
                  <c:v>14/7/2025</c:v>
                </c:pt>
                <c:pt idx="1">
                  <c:v>15/7/2025</c:v>
                </c:pt>
                <c:pt idx="2">
                  <c:v>16/7/2025</c:v>
                </c:pt>
                <c:pt idx="3">
                  <c:v>17/7/2025</c:v>
                </c:pt>
                <c:pt idx="4">
                  <c:v>18/7/2025</c:v>
                </c:pt>
                <c:pt idx="5">
                  <c:v>19/7/2025</c:v>
                </c:pt>
                <c:pt idx="6">
                  <c:v>20/7/2025</c:v>
                </c:pt>
                <c:pt idx="7">
                  <c:v>21/7/2025</c:v>
                </c:pt>
                <c:pt idx="8">
                  <c:v>22/7/2025</c:v>
                </c:pt>
                <c:pt idx="9">
                  <c:v>23/7/2025</c:v>
                </c:pt>
                <c:pt idx="10">
                  <c:v>24/7/2025</c:v>
                </c:pt>
                <c:pt idx="11">
                  <c:v>25/7/2025</c:v>
                </c:pt>
                <c:pt idx="12">
                  <c:v>26/7/2025</c:v>
                </c:pt>
                <c:pt idx="13">
                  <c:v>27/7/2025</c:v>
                </c:pt>
                <c:pt idx="14">
                  <c:v>28/7/2025</c:v>
                </c:pt>
                <c:pt idx="15">
                  <c:v>29/7/2025</c:v>
                </c:pt>
                <c:pt idx="16">
                  <c:v>30/7/2025</c:v>
                </c:pt>
                <c:pt idx="17">
                  <c:v>31/7/2025</c:v>
                </c:pt>
                <c:pt idx="18">
                  <c:v>1/8/2025</c:v>
                </c:pt>
                <c:pt idx="19">
                  <c:v>2/8/2025</c:v>
                </c:pt>
                <c:pt idx="20">
                  <c:v>3/8/2025</c:v>
                </c:pt>
                <c:pt idx="21">
                  <c:v>4/8/2025</c:v>
                </c:pt>
                <c:pt idx="22">
                  <c:v>5/8/2025</c:v>
                </c:pt>
                <c:pt idx="23">
                  <c:v>6/8/2025</c:v>
                </c:pt>
                <c:pt idx="24">
                  <c:v>7/8/2025</c:v>
                </c:pt>
                <c:pt idx="25">
                  <c:v>8/8/2025</c:v>
                </c:pt>
                <c:pt idx="26">
                  <c:v>9/8/2025</c:v>
                </c:pt>
                <c:pt idx="27">
                  <c:v>10/8/2025</c:v>
                </c:pt>
                <c:pt idx="28">
                  <c:v>11/8/2025</c:v>
                </c:pt>
                <c:pt idx="29">
                  <c:v>12/8/2025</c:v>
                </c:pt>
                <c:pt idx="30">
                  <c:v>13/8/2025</c:v>
                </c:pt>
                <c:pt idx="31">
                  <c:v>14/8/2025</c:v>
                </c:pt>
                <c:pt idx="32">
                  <c:v>15/8/2025</c:v>
                </c:pt>
                <c:pt idx="33">
                  <c:v>16/8/2025</c:v>
                </c:pt>
                <c:pt idx="34">
                  <c:v>17/8/2025</c:v>
                </c:pt>
                <c:pt idx="35">
                  <c:v>18/8/2025</c:v>
                </c:pt>
                <c:pt idx="36">
                  <c:v>19/8/2025</c:v>
                </c:pt>
                <c:pt idx="37">
                  <c:v>20/8/2025</c:v>
                </c:pt>
                <c:pt idx="38">
                  <c:v>21/8/2025</c:v>
                </c:pt>
                <c:pt idx="39">
                  <c:v>22/8/2025</c:v>
                </c:pt>
                <c:pt idx="40">
                  <c:v>23/8/2025</c:v>
                </c:pt>
                <c:pt idx="41">
                  <c:v>24/8/2025</c:v>
                </c:pt>
                <c:pt idx="42">
                  <c:v>25/8/2025</c:v>
                </c:pt>
                <c:pt idx="43">
                  <c:v>26/8/2025</c:v>
                </c:pt>
                <c:pt idx="44">
                  <c:v>27/8/2025</c:v>
                </c:pt>
                <c:pt idx="45">
                  <c:v>28/8/2025</c:v>
                </c:pt>
                <c:pt idx="46">
                  <c:v>29/8/2025</c:v>
                </c:pt>
                <c:pt idx="47">
                  <c:v>30/8/2025</c:v>
                </c:pt>
                <c:pt idx="48">
                  <c:v>31/8/2025</c:v>
                </c:pt>
                <c:pt idx="49">
                  <c:v>1/9/2025</c:v>
                </c:pt>
                <c:pt idx="50">
                  <c:v>2/9/2025</c:v>
                </c:pt>
                <c:pt idx="51">
                  <c:v>3/9/2025</c:v>
                </c:pt>
                <c:pt idx="52">
                  <c:v>4/9/2025</c:v>
                </c:pt>
                <c:pt idx="53">
                  <c:v>5/9/2025</c:v>
                </c:pt>
                <c:pt idx="54">
                  <c:v>6/9/2025</c:v>
                </c:pt>
                <c:pt idx="55">
                  <c:v>7/9/2025</c:v>
                </c:pt>
                <c:pt idx="56">
                  <c:v>8/9/2025</c:v>
                </c:pt>
                <c:pt idx="57">
                  <c:v>9/9/2025</c:v>
                </c:pt>
                <c:pt idx="58">
                  <c:v>10/9/2025</c:v>
                </c:pt>
                <c:pt idx="59">
                  <c:v>11/9/2025</c:v>
                </c:pt>
                <c:pt idx="60">
                  <c:v>12/9/2025</c:v>
                </c:pt>
                <c:pt idx="61">
                  <c:v>13/9/2025</c:v>
                </c:pt>
                <c:pt idx="62">
                  <c:v>14/9/2025</c:v>
                </c:pt>
                <c:pt idx="63">
                  <c:v>15/9/2025</c:v>
                </c:pt>
                <c:pt idx="64">
                  <c:v>16/9/2025</c:v>
                </c:pt>
                <c:pt idx="65">
                  <c:v>17/9/2025</c:v>
                </c:pt>
                <c:pt idx="66">
                  <c:v>18/9/2025</c:v>
                </c:pt>
                <c:pt idx="67">
                  <c:v>19/9/2025</c:v>
                </c:pt>
                <c:pt idx="68">
                  <c:v>20/9/2025</c:v>
                </c:pt>
                <c:pt idx="69">
                  <c:v>21/9/2025</c:v>
                </c:pt>
                <c:pt idx="70">
                  <c:v>22/9/2025</c:v>
                </c:pt>
                <c:pt idx="71">
                  <c:v>23/9/2025</c:v>
                </c:pt>
                <c:pt idx="72">
                  <c:v>24/9/2025</c:v>
                </c:pt>
                <c:pt idx="73">
                  <c:v>25/9/2025</c:v>
                </c:pt>
                <c:pt idx="74">
                  <c:v>26/9/2025</c:v>
                </c:pt>
                <c:pt idx="75">
                  <c:v>27/9/2025</c:v>
                </c:pt>
                <c:pt idx="76">
                  <c:v>28/9/2025</c:v>
                </c:pt>
                <c:pt idx="77">
                  <c:v>29/9/2025</c:v>
                </c:pt>
                <c:pt idx="78">
                  <c:v>30/9/2025</c:v>
                </c:pt>
                <c:pt idx="79">
                  <c:v>1/10/2025</c:v>
                </c:pt>
                <c:pt idx="80">
                  <c:v>2/10/2025</c:v>
                </c:pt>
                <c:pt idx="81">
                  <c:v>3/10/2025</c:v>
                </c:pt>
                <c:pt idx="82">
                  <c:v>4/10/2025</c:v>
                </c:pt>
                <c:pt idx="83">
                  <c:v>5/10/2025</c:v>
                </c:pt>
                <c:pt idx="84">
                  <c:v>6/10/2025</c:v>
                </c:pt>
                <c:pt idx="85">
                  <c:v>7/10/2025</c:v>
                </c:pt>
                <c:pt idx="86">
                  <c:v>8/10/2025</c:v>
                </c:pt>
                <c:pt idx="87">
                  <c:v>9/10/2025</c:v>
                </c:pt>
                <c:pt idx="88">
                  <c:v>10/10/2025</c:v>
                </c:pt>
                <c:pt idx="89">
                  <c:v>11/10/2025</c:v>
                </c:pt>
                <c:pt idx="90">
                  <c:v>12/10/2025</c:v>
                </c:pt>
                <c:pt idx="91">
                  <c:v>13/10/2025</c:v>
                </c:pt>
                <c:pt idx="92">
                  <c:v>14/10/2025</c:v>
                </c:pt>
                <c:pt idx="93">
                  <c:v>15/10/2025</c:v>
                </c:pt>
                <c:pt idx="94">
                  <c:v>16/10/2025</c:v>
                </c:pt>
                <c:pt idx="95">
                  <c:v>17/10/2025</c:v>
                </c:pt>
                <c:pt idx="96">
                  <c:v>18/10/2025</c:v>
                </c:pt>
                <c:pt idx="97">
                  <c:v>19/10/2025</c:v>
                </c:pt>
                <c:pt idx="98">
                  <c:v>20/10/2025</c:v>
                </c:pt>
                <c:pt idx="99">
                  <c:v>21/10/2025</c:v>
                </c:pt>
                <c:pt idx="100">
                  <c:v>22/10/2025</c:v>
                </c:pt>
                <c:pt idx="101">
                  <c:v>23/10/2025</c:v>
                </c:pt>
                <c:pt idx="102">
                  <c:v>24/10/2025</c:v>
                </c:pt>
                <c:pt idx="103">
                  <c:v>25/10/2025</c:v>
                </c:pt>
                <c:pt idx="104">
                  <c:v>26/10/2025</c:v>
                </c:pt>
                <c:pt idx="105">
                  <c:v>27/10/2025</c:v>
                </c:pt>
                <c:pt idx="106">
                  <c:v>28/10/2025</c:v>
                </c:pt>
                <c:pt idx="107">
                  <c:v>29/10/2025</c:v>
                </c:pt>
                <c:pt idx="108">
                  <c:v>30/10/2025</c:v>
                </c:pt>
                <c:pt idx="109">
                  <c:v>31/10/2025</c:v>
                </c:pt>
                <c:pt idx="110">
                  <c:v>1/11/2025</c:v>
                </c:pt>
                <c:pt idx="111">
                  <c:v>2/11/2025</c:v>
                </c:pt>
                <c:pt idx="112">
                  <c:v>3/11/2025</c:v>
                </c:pt>
                <c:pt idx="113">
                  <c:v>4/11/2025</c:v>
                </c:pt>
                <c:pt idx="114">
                  <c:v>5/11/2025</c:v>
                </c:pt>
                <c:pt idx="115">
                  <c:v>6/11/2025</c:v>
                </c:pt>
                <c:pt idx="116">
                  <c:v>7/11/2025</c:v>
                </c:pt>
                <c:pt idx="117">
                  <c:v>8/11/2025</c:v>
                </c:pt>
                <c:pt idx="118">
                  <c:v>9/11/2025</c:v>
                </c:pt>
                <c:pt idx="119">
                  <c:v>10/11/2025</c:v>
                </c:pt>
                <c:pt idx="120">
                  <c:v>11/11/2025</c:v>
                </c:pt>
                <c:pt idx="121">
                  <c:v>12/11/2025</c:v>
                </c:pt>
                <c:pt idx="122">
                  <c:v>(en blanco)</c:v>
                </c:pt>
              </c:strCache>
            </c:strRef>
          </c:cat>
          <c:val>
            <c:numRef>
              <c:f>PlanificadosVaciados!$M$6:$M$129</c:f>
              <c:numCache>
                <c:formatCode>General</c:formatCode>
                <c:ptCount val="123"/>
                <c:pt idx="0">
                  <c:v>5500</c:v>
                </c:pt>
                <c:pt idx="1">
                  <c:v>5155</c:v>
                </c:pt>
                <c:pt idx="2">
                  <c:v>5530</c:v>
                </c:pt>
                <c:pt idx="3">
                  <c:v>5161</c:v>
                </c:pt>
                <c:pt idx="4">
                  <c:v>5494</c:v>
                </c:pt>
                <c:pt idx="5">
                  <c:v>2939</c:v>
                </c:pt>
                <c:pt idx="6">
                  <c:v>4069</c:v>
                </c:pt>
                <c:pt idx="7">
                  <c:v>5278</c:v>
                </c:pt>
                <c:pt idx="8">
                  <c:v>5407</c:v>
                </c:pt>
                <c:pt idx="9">
                  <c:v>5284</c:v>
                </c:pt>
                <c:pt idx="10">
                  <c:v>5371</c:v>
                </c:pt>
                <c:pt idx="11">
                  <c:v>5314</c:v>
                </c:pt>
                <c:pt idx="12">
                  <c:v>2936</c:v>
                </c:pt>
                <c:pt idx="13">
                  <c:v>4036</c:v>
                </c:pt>
                <c:pt idx="14">
                  <c:v>5530</c:v>
                </c:pt>
                <c:pt idx="15">
                  <c:v>5161</c:v>
                </c:pt>
                <c:pt idx="16">
                  <c:v>5494</c:v>
                </c:pt>
                <c:pt idx="17">
                  <c:v>5191</c:v>
                </c:pt>
                <c:pt idx="18">
                  <c:v>5500</c:v>
                </c:pt>
                <c:pt idx="19">
                  <c:v>2939</c:v>
                </c:pt>
                <c:pt idx="20">
                  <c:v>4063</c:v>
                </c:pt>
                <c:pt idx="21">
                  <c:v>5284</c:v>
                </c:pt>
                <c:pt idx="22">
                  <c:v>5371</c:v>
                </c:pt>
                <c:pt idx="23">
                  <c:v>5190</c:v>
                </c:pt>
                <c:pt idx="24">
                  <c:v>5377</c:v>
                </c:pt>
                <c:pt idx="25">
                  <c:v>5154</c:v>
                </c:pt>
                <c:pt idx="26">
                  <c:v>2936</c:v>
                </c:pt>
                <c:pt idx="27">
                  <c:v>3948</c:v>
                </c:pt>
                <c:pt idx="28">
                  <c:v>5494</c:v>
                </c:pt>
                <c:pt idx="29">
                  <c:v>2416</c:v>
                </c:pt>
                <c:pt idx="30">
                  <c:v>5500</c:v>
                </c:pt>
                <c:pt idx="31">
                  <c:v>5031</c:v>
                </c:pt>
                <c:pt idx="32">
                  <c:v>5530</c:v>
                </c:pt>
                <c:pt idx="33">
                  <c:v>2939</c:v>
                </c:pt>
                <c:pt idx="34">
                  <c:v>3909</c:v>
                </c:pt>
                <c:pt idx="35">
                  <c:v>5314</c:v>
                </c:pt>
                <c:pt idx="36">
                  <c:v>5377</c:v>
                </c:pt>
                <c:pt idx="37">
                  <c:v>5278</c:v>
                </c:pt>
                <c:pt idx="38">
                  <c:v>5407</c:v>
                </c:pt>
                <c:pt idx="39">
                  <c:v>5284</c:v>
                </c:pt>
                <c:pt idx="40">
                  <c:v>2936</c:v>
                </c:pt>
                <c:pt idx="41">
                  <c:v>2283</c:v>
                </c:pt>
                <c:pt idx="42">
                  <c:v>5500</c:v>
                </c:pt>
                <c:pt idx="43">
                  <c:v>5155</c:v>
                </c:pt>
                <c:pt idx="44">
                  <c:v>5530</c:v>
                </c:pt>
                <c:pt idx="45">
                  <c:v>5161</c:v>
                </c:pt>
                <c:pt idx="46">
                  <c:v>5494</c:v>
                </c:pt>
                <c:pt idx="47">
                  <c:v>2939</c:v>
                </c:pt>
                <c:pt idx="48">
                  <c:v>4069</c:v>
                </c:pt>
                <c:pt idx="49">
                  <c:v>5278</c:v>
                </c:pt>
                <c:pt idx="50">
                  <c:v>5407</c:v>
                </c:pt>
                <c:pt idx="51">
                  <c:v>5284</c:v>
                </c:pt>
                <c:pt idx="52">
                  <c:v>5371</c:v>
                </c:pt>
                <c:pt idx="53">
                  <c:v>5314</c:v>
                </c:pt>
                <c:pt idx="54">
                  <c:v>2936</c:v>
                </c:pt>
                <c:pt idx="55">
                  <c:v>4036</c:v>
                </c:pt>
                <c:pt idx="56">
                  <c:v>5530</c:v>
                </c:pt>
                <c:pt idx="57">
                  <c:v>5161</c:v>
                </c:pt>
                <c:pt idx="58">
                  <c:v>5360</c:v>
                </c:pt>
                <c:pt idx="59">
                  <c:v>5295</c:v>
                </c:pt>
                <c:pt idx="60">
                  <c:v>5366</c:v>
                </c:pt>
                <c:pt idx="61">
                  <c:v>2985</c:v>
                </c:pt>
                <c:pt idx="62">
                  <c:v>3959</c:v>
                </c:pt>
                <c:pt idx="63">
                  <c:v>5437</c:v>
                </c:pt>
                <c:pt idx="64">
                  <c:v>5186</c:v>
                </c:pt>
                <c:pt idx="65">
                  <c:v>5469</c:v>
                </c:pt>
                <c:pt idx="66">
                  <c:v>5182</c:v>
                </c:pt>
                <c:pt idx="67">
                  <c:v>5431</c:v>
                </c:pt>
                <c:pt idx="68">
                  <c:v>2968</c:v>
                </c:pt>
                <c:pt idx="69">
                  <c:v>3972</c:v>
                </c:pt>
                <c:pt idx="70">
                  <c:v>5350</c:v>
                </c:pt>
                <c:pt idx="71">
                  <c:v>5295</c:v>
                </c:pt>
                <c:pt idx="72">
                  <c:v>5356</c:v>
                </c:pt>
                <c:pt idx="73">
                  <c:v>5257</c:v>
                </c:pt>
                <c:pt idx="74">
                  <c:v>5388</c:v>
                </c:pt>
                <c:pt idx="75">
                  <c:v>2985</c:v>
                </c:pt>
                <c:pt idx="76">
                  <c:v>3917</c:v>
                </c:pt>
                <c:pt idx="77">
                  <c:v>5314</c:v>
                </c:pt>
                <c:pt idx="78">
                  <c:v>5377</c:v>
                </c:pt>
                <c:pt idx="79">
                  <c:v>5278</c:v>
                </c:pt>
                <c:pt idx="80">
                  <c:v>5407</c:v>
                </c:pt>
                <c:pt idx="81">
                  <c:v>5284</c:v>
                </c:pt>
                <c:pt idx="82">
                  <c:v>2936</c:v>
                </c:pt>
                <c:pt idx="83">
                  <c:v>4066</c:v>
                </c:pt>
                <c:pt idx="84">
                  <c:v>5500</c:v>
                </c:pt>
                <c:pt idx="85">
                  <c:v>5155</c:v>
                </c:pt>
                <c:pt idx="86">
                  <c:v>5530</c:v>
                </c:pt>
                <c:pt idx="87">
                  <c:v>5161</c:v>
                </c:pt>
                <c:pt idx="88">
                  <c:v>5494</c:v>
                </c:pt>
                <c:pt idx="89">
                  <c:v>2939</c:v>
                </c:pt>
                <c:pt idx="90">
                  <c:v>4069</c:v>
                </c:pt>
                <c:pt idx="91">
                  <c:v>5278</c:v>
                </c:pt>
                <c:pt idx="92">
                  <c:v>5407</c:v>
                </c:pt>
                <c:pt idx="93">
                  <c:v>5284</c:v>
                </c:pt>
                <c:pt idx="94">
                  <c:v>5371</c:v>
                </c:pt>
                <c:pt idx="95">
                  <c:v>5314</c:v>
                </c:pt>
                <c:pt idx="96">
                  <c:v>2936</c:v>
                </c:pt>
                <c:pt idx="97">
                  <c:v>4036</c:v>
                </c:pt>
                <c:pt idx="98">
                  <c:v>5530</c:v>
                </c:pt>
                <c:pt idx="99">
                  <c:v>5161</c:v>
                </c:pt>
                <c:pt idx="100">
                  <c:v>5494</c:v>
                </c:pt>
                <c:pt idx="101">
                  <c:v>5191</c:v>
                </c:pt>
                <c:pt idx="102">
                  <c:v>5500</c:v>
                </c:pt>
                <c:pt idx="103">
                  <c:v>2939</c:v>
                </c:pt>
                <c:pt idx="104">
                  <c:v>4063</c:v>
                </c:pt>
                <c:pt idx="105">
                  <c:v>5284</c:v>
                </c:pt>
                <c:pt idx="106">
                  <c:v>5371</c:v>
                </c:pt>
                <c:pt idx="107">
                  <c:v>5190</c:v>
                </c:pt>
                <c:pt idx="108">
                  <c:v>5377</c:v>
                </c:pt>
                <c:pt idx="109">
                  <c:v>5154</c:v>
                </c:pt>
                <c:pt idx="110">
                  <c:v>2936</c:v>
                </c:pt>
                <c:pt idx="111">
                  <c:v>3948</c:v>
                </c:pt>
                <c:pt idx="112">
                  <c:v>5494</c:v>
                </c:pt>
                <c:pt idx="113">
                  <c:v>5067</c:v>
                </c:pt>
                <c:pt idx="114">
                  <c:v>5500</c:v>
                </c:pt>
                <c:pt idx="115">
                  <c:v>5031</c:v>
                </c:pt>
                <c:pt idx="116">
                  <c:v>5530</c:v>
                </c:pt>
                <c:pt idx="117">
                  <c:v>2939</c:v>
                </c:pt>
                <c:pt idx="118">
                  <c:v>3909</c:v>
                </c:pt>
                <c:pt idx="119">
                  <c:v>5314</c:v>
                </c:pt>
                <c:pt idx="120">
                  <c:v>5377</c:v>
                </c:pt>
                <c:pt idx="121">
                  <c:v>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D-4642-B87C-9A6CFF8D7677}"/>
            </c:ext>
          </c:extLst>
        </c:ser>
        <c:ser>
          <c:idx val="1"/>
          <c:order val="1"/>
          <c:tx>
            <c:strRef>
              <c:f>PlanificadosVaciados!$N$5</c:f>
              <c:strCache>
                <c:ptCount val="1"/>
                <c:pt idx="0">
                  <c:v>Suma de PROGRAMADOS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PlanificadosVaciados!$L$6:$L$129</c:f>
              <c:strCache>
                <c:ptCount val="123"/>
                <c:pt idx="0">
                  <c:v>14/7/2025</c:v>
                </c:pt>
                <c:pt idx="1">
                  <c:v>15/7/2025</c:v>
                </c:pt>
                <c:pt idx="2">
                  <c:v>16/7/2025</c:v>
                </c:pt>
                <c:pt idx="3">
                  <c:v>17/7/2025</c:v>
                </c:pt>
                <c:pt idx="4">
                  <c:v>18/7/2025</c:v>
                </c:pt>
                <c:pt idx="5">
                  <c:v>19/7/2025</c:v>
                </c:pt>
                <c:pt idx="6">
                  <c:v>20/7/2025</c:v>
                </c:pt>
                <c:pt idx="7">
                  <c:v>21/7/2025</c:v>
                </c:pt>
                <c:pt idx="8">
                  <c:v>22/7/2025</c:v>
                </c:pt>
                <c:pt idx="9">
                  <c:v>23/7/2025</c:v>
                </c:pt>
                <c:pt idx="10">
                  <c:v>24/7/2025</c:v>
                </c:pt>
                <c:pt idx="11">
                  <c:v>25/7/2025</c:v>
                </c:pt>
                <c:pt idx="12">
                  <c:v>26/7/2025</c:v>
                </c:pt>
                <c:pt idx="13">
                  <c:v>27/7/2025</c:v>
                </c:pt>
                <c:pt idx="14">
                  <c:v>28/7/2025</c:v>
                </c:pt>
                <c:pt idx="15">
                  <c:v>29/7/2025</c:v>
                </c:pt>
                <c:pt idx="16">
                  <c:v>30/7/2025</c:v>
                </c:pt>
                <c:pt idx="17">
                  <c:v>31/7/2025</c:v>
                </c:pt>
                <c:pt idx="18">
                  <c:v>1/8/2025</c:v>
                </c:pt>
                <c:pt idx="19">
                  <c:v>2/8/2025</c:v>
                </c:pt>
                <c:pt idx="20">
                  <c:v>3/8/2025</c:v>
                </c:pt>
                <c:pt idx="21">
                  <c:v>4/8/2025</c:v>
                </c:pt>
                <c:pt idx="22">
                  <c:v>5/8/2025</c:v>
                </c:pt>
                <c:pt idx="23">
                  <c:v>6/8/2025</c:v>
                </c:pt>
                <c:pt idx="24">
                  <c:v>7/8/2025</c:v>
                </c:pt>
                <c:pt idx="25">
                  <c:v>8/8/2025</c:v>
                </c:pt>
                <c:pt idx="26">
                  <c:v>9/8/2025</c:v>
                </c:pt>
                <c:pt idx="27">
                  <c:v>10/8/2025</c:v>
                </c:pt>
                <c:pt idx="28">
                  <c:v>11/8/2025</c:v>
                </c:pt>
                <c:pt idx="29">
                  <c:v>12/8/2025</c:v>
                </c:pt>
                <c:pt idx="30">
                  <c:v>13/8/2025</c:v>
                </c:pt>
                <c:pt idx="31">
                  <c:v>14/8/2025</c:v>
                </c:pt>
                <c:pt idx="32">
                  <c:v>15/8/2025</c:v>
                </c:pt>
                <c:pt idx="33">
                  <c:v>16/8/2025</c:v>
                </c:pt>
                <c:pt idx="34">
                  <c:v>17/8/2025</c:v>
                </c:pt>
                <c:pt idx="35">
                  <c:v>18/8/2025</c:v>
                </c:pt>
                <c:pt idx="36">
                  <c:v>19/8/2025</c:v>
                </c:pt>
                <c:pt idx="37">
                  <c:v>20/8/2025</c:v>
                </c:pt>
                <c:pt idx="38">
                  <c:v>21/8/2025</c:v>
                </c:pt>
                <c:pt idx="39">
                  <c:v>22/8/2025</c:v>
                </c:pt>
                <c:pt idx="40">
                  <c:v>23/8/2025</c:v>
                </c:pt>
                <c:pt idx="41">
                  <c:v>24/8/2025</c:v>
                </c:pt>
                <c:pt idx="42">
                  <c:v>25/8/2025</c:v>
                </c:pt>
                <c:pt idx="43">
                  <c:v>26/8/2025</c:v>
                </c:pt>
                <c:pt idx="44">
                  <c:v>27/8/2025</c:v>
                </c:pt>
                <c:pt idx="45">
                  <c:v>28/8/2025</c:v>
                </c:pt>
                <c:pt idx="46">
                  <c:v>29/8/2025</c:v>
                </c:pt>
                <c:pt idx="47">
                  <c:v>30/8/2025</c:v>
                </c:pt>
                <c:pt idx="48">
                  <c:v>31/8/2025</c:v>
                </c:pt>
                <c:pt idx="49">
                  <c:v>1/9/2025</c:v>
                </c:pt>
                <c:pt idx="50">
                  <c:v>2/9/2025</c:v>
                </c:pt>
                <c:pt idx="51">
                  <c:v>3/9/2025</c:v>
                </c:pt>
                <c:pt idx="52">
                  <c:v>4/9/2025</c:v>
                </c:pt>
                <c:pt idx="53">
                  <c:v>5/9/2025</c:v>
                </c:pt>
                <c:pt idx="54">
                  <c:v>6/9/2025</c:v>
                </c:pt>
                <c:pt idx="55">
                  <c:v>7/9/2025</c:v>
                </c:pt>
                <c:pt idx="56">
                  <c:v>8/9/2025</c:v>
                </c:pt>
                <c:pt idx="57">
                  <c:v>9/9/2025</c:v>
                </c:pt>
                <c:pt idx="58">
                  <c:v>10/9/2025</c:v>
                </c:pt>
                <c:pt idx="59">
                  <c:v>11/9/2025</c:v>
                </c:pt>
                <c:pt idx="60">
                  <c:v>12/9/2025</c:v>
                </c:pt>
                <c:pt idx="61">
                  <c:v>13/9/2025</c:v>
                </c:pt>
                <c:pt idx="62">
                  <c:v>14/9/2025</c:v>
                </c:pt>
                <c:pt idx="63">
                  <c:v>15/9/2025</c:v>
                </c:pt>
                <c:pt idx="64">
                  <c:v>16/9/2025</c:v>
                </c:pt>
                <c:pt idx="65">
                  <c:v>17/9/2025</c:v>
                </c:pt>
                <c:pt idx="66">
                  <c:v>18/9/2025</c:v>
                </c:pt>
                <c:pt idx="67">
                  <c:v>19/9/2025</c:v>
                </c:pt>
                <c:pt idx="68">
                  <c:v>20/9/2025</c:v>
                </c:pt>
                <c:pt idx="69">
                  <c:v>21/9/2025</c:v>
                </c:pt>
                <c:pt idx="70">
                  <c:v>22/9/2025</c:v>
                </c:pt>
                <c:pt idx="71">
                  <c:v>23/9/2025</c:v>
                </c:pt>
                <c:pt idx="72">
                  <c:v>24/9/2025</c:v>
                </c:pt>
                <c:pt idx="73">
                  <c:v>25/9/2025</c:v>
                </c:pt>
                <c:pt idx="74">
                  <c:v>26/9/2025</c:v>
                </c:pt>
                <c:pt idx="75">
                  <c:v>27/9/2025</c:v>
                </c:pt>
                <c:pt idx="76">
                  <c:v>28/9/2025</c:v>
                </c:pt>
                <c:pt idx="77">
                  <c:v>29/9/2025</c:v>
                </c:pt>
                <c:pt idx="78">
                  <c:v>30/9/2025</c:v>
                </c:pt>
                <c:pt idx="79">
                  <c:v>1/10/2025</c:v>
                </c:pt>
                <c:pt idx="80">
                  <c:v>2/10/2025</c:v>
                </c:pt>
                <c:pt idx="81">
                  <c:v>3/10/2025</c:v>
                </c:pt>
                <c:pt idx="82">
                  <c:v>4/10/2025</c:v>
                </c:pt>
                <c:pt idx="83">
                  <c:v>5/10/2025</c:v>
                </c:pt>
                <c:pt idx="84">
                  <c:v>6/10/2025</c:v>
                </c:pt>
                <c:pt idx="85">
                  <c:v>7/10/2025</c:v>
                </c:pt>
                <c:pt idx="86">
                  <c:v>8/10/2025</c:v>
                </c:pt>
                <c:pt idx="87">
                  <c:v>9/10/2025</c:v>
                </c:pt>
                <c:pt idx="88">
                  <c:v>10/10/2025</c:v>
                </c:pt>
                <c:pt idx="89">
                  <c:v>11/10/2025</c:v>
                </c:pt>
                <c:pt idx="90">
                  <c:v>12/10/2025</c:v>
                </c:pt>
                <c:pt idx="91">
                  <c:v>13/10/2025</c:v>
                </c:pt>
                <c:pt idx="92">
                  <c:v>14/10/2025</c:v>
                </c:pt>
                <c:pt idx="93">
                  <c:v>15/10/2025</c:v>
                </c:pt>
                <c:pt idx="94">
                  <c:v>16/10/2025</c:v>
                </c:pt>
                <c:pt idx="95">
                  <c:v>17/10/2025</c:v>
                </c:pt>
                <c:pt idx="96">
                  <c:v>18/10/2025</c:v>
                </c:pt>
                <c:pt idx="97">
                  <c:v>19/10/2025</c:v>
                </c:pt>
                <c:pt idx="98">
                  <c:v>20/10/2025</c:v>
                </c:pt>
                <c:pt idx="99">
                  <c:v>21/10/2025</c:v>
                </c:pt>
                <c:pt idx="100">
                  <c:v>22/10/2025</c:v>
                </c:pt>
                <c:pt idx="101">
                  <c:v>23/10/2025</c:v>
                </c:pt>
                <c:pt idx="102">
                  <c:v>24/10/2025</c:v>
                </c:pt>
                <c:pt idx="103">
                  <c:v>25/10/2025</c:v>
                </c:pt>
                <c:pt idx="104">
                  <c:v>26/10/2025</c:v>
                </c:pt>
                <c:pt idx="105">
                  <c:v>27/10/2025</c:v>
                </c:pt>
                <c:pt idx="106">
                  <c:v>28/10/2025</c:v>
                </c:pt>
                <c:pt idx="107">
                  <c:v>29/10/2025</c:v>
                </c:pt>
                <c:pt idx="108">
                  <c:v>30/10/2025</c:v>
                </c:pt>
                <c:pt idx="109">
                  <c:v>31/10/2025</c:v>
                </c:pt>
                <c:pt idx="110">
                  <c:v>1/11/2025</c:v>
                </c:pt>
                <c:pt idx="111">
                  <c:v>2/11/2025</c:v>
                </c:pt>
                <c:pt idx="112">
                  <c:v>3/11/2025</c:v>
                </c:pt>
                <c:pt idx="113">
                  <c:v>4/11/2025</c:v>
                </c:pt>
                <c:pt idx="114">
                  <c:v>5/11/2025</c:v>
                </c:pt>
                <c:pt idx="115">
                  <c:v>6/11/2025</c:v>
                </c:pt>
                <c:pt idx="116">
                  <c:v>7/11/2025</c:v>
                </c:pt>
                <c:pt idx="117">
                  <c:v>8/11/2025</c:v>
                </c:pt>
                <c:pt idx="118">
                  <c:v>9/11/2025</c:v>
                </c:pt>
                <c:pt idx="119">
                  <c:v>10/11/2025</c:v>
                </c:pt>
                <c:pt idx="120">
                  <c:v>11/11/2025</c:v>
                </c:pt>
                <c:pt idx="121">
                  <c:v>12/11/2025</c:v>
                </c:pt>
                <c:pt idx="122">
                  <c:v>(en blanco)</c:v>
                </c:pt>
              </c:strCache>
            </c:strRef>
          </c:cat>
          <c:val>
            <c:numRef>
              <c:f>PlanificadosVaciados!$N$6:$N$129</c:f>
              <c:numCache>
                <c:formatCode>General</c:formatCode>
                <c:ptCount val="123"/>
                <c:pt idx="0">
                  <c:v>7726</c:v>
                </c:pt>
                <c:pt idx="1">
                  <c:v>7597</c:v>
                </c:pt>
                <c:pt idx="2">
                  <c:v>6550</c:v>
                </c:pt>
                <c:pt idx="3">
                  <c:v>6550</c:v>
                </c:pt>
                <c:pt idx="4">
                  <c:v>3551</c:v>
                </c:pt>
                <c:pt idx="5">
                  <c:v>3588</c:v>
                </c:pt>
                <c:pt idx="6">
                  <c:v>4703</c:v>
                </c:pt>
                <c:pt idx="7">
                  <c:v>7129</c:v>
                </c:pt>
                <c:pt idx="8">
                  <c:v>7949</c:v>
                </c:pt>
                <c:pt idx="9">
                  <c:v>7600</c:v>
                </c:pt>
                <c:pt idx="10">
                  <c:v>6338</c:v>
                </c:pt>
                <c:pt idx="11">
                  <c:v>7776</c:v>
                </c:pt>
                <c:pt idx="12">
                  <c:v>4657</c:v>
                </c:pt>
                <c:pt idx="13">
                  <c:v>3980</c:v>
                </c:pt>
                <c:pt idx="14">
                  <c:v>4561</c:v>
                </c:pt>
                <c:pt idx="15">
                  <c:v>7341</c:v>
                </c:pt>
                <c:pt idx="16">
                  <c:v>7060</c:v>
                </c:pt>
                <c:pt idx="17">
                  <c:v>6234</c:v>
                </c:pt>
                <c:pt idx="18">
                  <c:v>6418</c:v>
                </c:pt>
                <c:pt idx="19">
                  <c:v>4284</c:v>
                </c:pt>
                <c:pt idx="20">
                  <c:v>4118</c:v>
                </c:pt>
                <c:pt idx="21">
                  <c:v>7983</c:v>
                </c:pt>
                <c:pt idx="22">
                  <c:v>5707</c:v>
                </c:pt>
                <c:pt idx="23">
                  <c:v>6326</c:v>
                </c:pt>
                <c:pt idx="24">
                  <c:v>6228</c:v>
                </c:pt>
                <c:pt idx="25">
                  <c:v>6335</c:v>
                </c:pt>
                <c:pt idx="26">
                  <c:v>3450</c:v>
                </c:pt>
                <c:pt idx="27">
                  <c:v>4098</c:v>
                </c:pt>
                <c:pt idx="28">
                  <c:v>3683</c:v>
                </c:pt>
                <c:pt idx="29">
                  <c:v>2727</c:v>
                </c:pt>
                <c:pt idx="30">
                  <c:v>6730</c:v>
                </c:pt>
                <c:pt idx="31">
                  <c:v>6264</c:v>
                </c:pt>
                <c:pt idx="32">
                  <c:v>6427</c:v>
                </c:pt>
                <c:pt idx="33">
                  <c:v>3863</c:v>
                </c:pt>
                <c:pt idx="34">
                  <c:v>3915</c:v>
                </c:pt>
                <c:pt idx="35">
                  <c:v>7623</c:v>
                </c:pt>
                <c:pt idx="36">
                  <c:v>6911</c:v>
                </c:pt>
                <c:pt idx="37">
                  <c:v>6295</c:v>
                </c:pt>
                <c:pt idx="38">
                  <c:v>6568</c:v>
                </c:pt>
                <c:pt idx="39">
                  <c:v>6366</c:v>
                </c:pt>
                <c:pt idx="40">
                  <c:v>5633</c:v>
                </c:pt>
                <c:pt idx="41">
                  <c:v>1402</c:v>
                </c:pt>
                <c:pt idx="42">
                  <c:v>4472</c:v>
                </c:pt>
                <c:pt idx="43">
                  <c:v>6503</c:v>
                </c:pt>
                <c:pt idx="44">
                  <c:v>6416</c:v>
                </c:pt>
                <c:pt idx="45">
                  <c:v>6790</c:v>
                </c:pt>
                <c:pt idx="46">
                  <c:v>6806</c:v>
                </c:pt>
                <c:pt idx="47">
                  <c:v>3734</c:v>
                </c:pt>
                <c:pt idx="48">
                  <c:v>4265</c:v>
                </c:pt>
                <c:pt idx="49">
                  <c:v>5773</c:v>
                </c:pt>
                <c:pt idx="50">
                  <c:v>6442</c:v>
                </c:pt>
                <c:pt idx="51">
                  <c:v>6748</c:v>
                </c:pt>
                <c:pt idx="52">
                  <c:v>6222</c:v>
                </c:pt>
                <c:pt idx="53">
                  <c:v>6602</c:v>
                </c:pt>
                <c:pt idx="54">
                  <c:v>3607</c:v>
                </c:pt>
                <c:pt idx="55">
                  <c:v>4268</c:v>
                </c:pt>
                <c:pt idx="56">
                  <c:v>6469</c:v>
                </c:pt>
                <c:pt idx="57">
                  <c:v>5713</c:v>
                </c:pt>
                <c:pt idx="58">
                  <c:v>6139</c:v>
                </c:pt>
                <c:pt idx="59">
                  <c:v>6064</c:v>
                </c:pt>
                <c:pt idx="60">
                  <c:v>6325</c:v>
                </c:pt>
                <c:pt idx="61">
                  <c:v>3782</c:v>
                </c:pt>
                <c:pt idx="62">
                  <c:v>4253</c:v>
                </c:pt>
                <c:pt idx="63">
                  <c:v>6363</c:v>
                </c:pt>
                <c:pt idx="64">
                  <c:v>6192</c:v>
                </c:pt>
                <c:pt idx="65">
                  <c:v>6685</c:v>
                </c:pt>
                <c:pt idx="66">
                  <c:v>6289</c:v>
                </c:pt>
                <c:pt idx="67">
                  <c:v>6148</c:v>
                </c:pt>
                <c:pt idx="68">
                  <c:v>3585</c:v>
                </c:pt>
                <c:pt idx="69">
                  <c:v>4297</c:v>
                </c:pt>
                <c:pt idx="70">
                  <c:v>6714</c:v>
                </c:pt>
                <c:pt idx="71">
                  <c:v>6366</c:v>
                </c:pt>
                <c:pt idx="72">
                  <c:v>6520</c:v>
                </c:pt>
                <c:pt idx="73">
                  <c:v>6585</c:v>
                </c:pt>
                <c:pt idx="74">
                  <c:v>6199</c:v>
                </c:pt>
                <c:pt idx="75">
                  <c:v>3022</c:v>
                </c:pt>
                <c:pt idx="76">
                  <c:v>4112</c:v>
                </c:pt>
                <c:pt idx="77">
                  <c:v>6250</c:v>
                </c:pt>
                <c:pt idx="78">
                  <c:v>6741</c:v>
                </c:pt>
                <c:pt idx="79">
                  <c:v>5315</c:v>
                </c:pt>
                <c:pt idx="80">
                  <c:v>5622</c:v>
                </c:pt>
                <c:pt idx="81">
                  <c:v>6408</c:v>
                </c:pt>
                <c:pt idx="82">
                  <c:v>3081</c:v>
                </c:pt>
                <c:pt idx="83">
                  <c:v>4273</c:v>
                </c:pt>
                <c:pt idx="84">
                  <c:v>6024</c:v>
                </c:pt>
                <c:pt idx="85">
                  <c:v>5166</c:v>
                </c:pt>
                <c:pt idx="86">
                  <c:v>6497</c:v>
                </c:pt>
                <c:pt idx="87">
                  <c:v>6713</c:v>
                </c:pt>
                <c:pt idx="88">
                  <c:v>6694</c:v>
                </c:pt>
                <c:pt idx="89">
                  <c:v>3565</c:v>
                </c:pt>
                <c:pt idx="90">
                  <c:v>3934</c:v>
                </c:pt>
                <c:pt idx="91">
                  <c:v>6836</c:v>
                </c:pt>
                <c:pt idx="92">
                  <c:v>606</c:v>
                </c:pt>
                <c:pt idx="93">
                  <c:v>4297</c:v>
                </c:pt>
                <c:pt idx="94">
                  <c:v>6632</c:v>
                </c:pt>
                <c:pt idx="95">
                  <c:v>6022</c:v>
                </c:pt>
                <c:pt idx="96">
                  <c:v>3252</c:v>
                </c:pt>
                <c:pt idx="97">
                  <c:v>3097</c:v>
                </c:pt>
                <c:pt idx="98">
                  <c:v>5337</c:v>
                </c:pt>
                <c:pt idx="99">
                  <c:v>5848</c:v>
                </c:pt>
                <c:pt idx="100">
                  <c:v>4616</c:v>
                </c:pt>
                <c:pt idx="101">
                  <c:v>4984</c:v>
                </c:pt>
                <c:pt idx="102">
                  <c:v>5933</c:v>
                </c:pt>
                <c:pt idx="103">
                  <c:v>2714</c:v>
                </c:pt>
                <c:pt idx="104">
                  <c:v>2937</c:v>
                </c:pt>
                <c:pt idx="105">
                  <c:v>5712</c:v>
                </c:pt>
                <c:pt idx="106">
                  <c:v>1889</c:v>
                </c:pt>
                <c:pt idx="107">
                  <c:v>2559</c:v>
                </c:pt>
                <c:pt idx="108">
                  <c:v>5683</c:v>
                </c:pt>
                <c:pt idx="109">
                  <c:v>5624</c:v>
                </c:pt>
                <c:pt idx="110">
                  <c:v>3146</c:v>
                </c:pt>
                <c:pt idx="111">
                  <c:v>2221</c:v>
                </c:pt>
                <c:pt idx="112">
                  <c:v>6157</c:v>
                </c:pt>
                <c:pt idx="113">
                  <c:v>5449</c:v>
                </c:pt>
                <c:pt idx="114">
                  <c:v>5460</c:v>
                </c:pt>
                <c:pt idx="115">
                  <c:v>6233</c:v>
                </c:pt>
                <c:pt idx="116">
                  <c:v>5425</c:v>
                </c:pt>
                <c:pt idx="117">
                  <c:v>3031</c:v>
                </c:pt>
                <c:pt idx="118">
                  <c:v>3001</c:v>
                </c:pt>
                <c:pt idx="119">
                  <c:v>5997</c:v>
                </c:pt>
                <c:pt idx="120">
                  <c:v>5402</c:v>
                </c:pt>
                <c:pt idx="121">
                  <c:v>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D-4642-B87C-9A6CFF8D7677}"/>
            </c:ext>
          </c:extLst>
        </c:ser>
        <c:ser>
          <c:idx val="2"/>
          <c:order val="2"/>
          <c:tx>
            <c:strRef>
              <c:f>PlanificadosVaciados!$O$5</c:f>
              <c:strCache>
                <c:ptCount val="1"/>
                <c:pt idx="0">
                  <c:v>Suma de VISITADOS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PlanificadosVaciados!$L$6:$L$129</c:f>
              <c:strCache>
                <c:ptCount val="123"/>
                <c:pt idx="0">
                  <c:v>14/7/2025</c:v>
                </c:pt>
                <c:pt idx="1">
                  <c:v>15/7/2025</c:v>
                </c:pt>
                <c:pt idx="2">
                  <c:v>16/7/2025</c:v>
                </c:pt>
                <c:pt idx="3">
                  <c:v>17/7/2025</c:v>
                </c:pt>
                <c:pt idx="4">
                  <c:v>18/7/2025</c:v>
                </c:pt>
                <c:pt idx="5">
                  <c:v>19/7/2025</c:v>
                </c:pt>
                <c:pt idx="6">
                  <c:v>20/7/2025</c:v>
                </c:pt>
                <c:pt idx="7">
                  <c:v>21/7/2025</c:v>
                </c:pt>
                <c:pt idx="8">
                  <c:v>22/7/2025</c:v>
                </c:pt>
                <c:pt idx="9">
                  <c:v>23/7/2025</c:v>
                </c:pt>
                <c:pt idx="10">
                  <c:v>24/7/2025</c:v>
                </c:pt>
                <c:pt idx="11">
                  <c:v>25/7/2025</c:v>
                </c:pt>
                <c:pt idx="12">
                  <c:v>26/7/2025</c:v>
                </c:pt>
                <c:pt idx="13">
                  <c:v>27/7/2025</c:v>
                </c:pt>
                <c:pt idx="14">
                  <c:v>28/7/2025</c:v>
                </c:pt>
                <c:pt idx="15">
                  <c:v>29/7/2025</c:v>
                </c:pt>
                <c:pt idx="16">
                  <c:v>30/7/2025</c:v>
                </c:pt>
                <c:pt idx="17">
                  <c:v>31/7/2025</c:v>
                </c:pt>
                <c:pt idx="18">
                  <c:v>1/8/2025</c:v>
                </c:pt>
                <c:pt idx="19">
                  <c:v>2/8/2025</c:v>
                </c:pt>
                <c:pt idx="20">
                  <c:v>3/8/2025</c:v>
                </c:pt>
                <c:pt idx="21">
                  <c:v>4/8/2025</c:v>
                </c:pt>
                <c:pt idx="22">
                  <c:v>5/8/2025</c:v>
                </c:pt>
                <c:pt idx="23">
                  <c:v>6/8/2025</c:v>
                </c:pt>
                <c:pt idx="24">
                  <c:v>7/8/2025</c:v>
                </c:pt>
                <c:pt idx="25">
                  <c:v>8/8/2025</c:v>
                </c:pt>
                <c:pt idx="26">
                  <c:v>9/8/2025</c:v>
                </c:pt>
                <c:pt idx="27">
                  <c:v>10/8/2025</c:v>
                </c:pt>
                <c:pt idx="28">
                  <c:v>11/8/2025</c:v>
                </c:pt>
                <c:pt idx="29">
                  <c:v>12/8/2025</c:v>
                </c:pt>
                <c:pt idx="30">
                  <c:v>13/8/2025</c:v>
                </c:pt>
                <c:pt idx="31">
                  <c:v>14/8/2025</c:v>
                </c:pt>
                <c:pt idx="32">
                  <c:v>15/8/2025</c:v>
                </c:pt>
                <c:pt idx="33">
                  <c:v>16/8/2025</c:v>
                </c:pt>
                <c:pt idx="34">
                  <c:v>17/8/2025</c:v>
                </c:pt>
                <c:pt idx="35">
                  <c:v>18/8/2025</c:v>
                </c:pt>
                <c:pt idx="36">
                  <c:v>19/8/2025</c:v>
                </c:pt>
                <c:pt idx="37">
                  <c:v>20/8/2025</c:v>
                </c:pt>
                <c:pt idx="38">
                  <c:v>21/8/2025</c:v>
                </c:pt>
                <c:pt idx="39">
                  <c:v>22/8/2025</c:v>
                </c:pt>
                <c:pt idx="40">
                  <c:v>23/8/2025</c:v>
                </c:pt>
                <c:pt idx="41">
                  <c:v>24/8/2025</c:v>
                </c:pt>
                <c:pt idx="42">
                  <c:v>25/8/2025</c:v>
                </c:pt>
                <c:pt idx="43">
                  <c:v>26/8/2025</c:v>
                </c:pt>
                <c:pt idx="44">
                  <c:v>27/8/2025</c:v>
                </c:pt>
                <c:pt idx="45">
                  <c:v>28/8/2025</c:v>
                </c:pt>
                <c:pt idx="46">
                  <c:v>29/8/2025</c:v>
                </c:pt>
                <c:pt idx="47">
                  <c:v>30/8/2025</c:v>
                </c:pt>
                <c:pt idx="48">
                  <c:v>31/8/2025</c:v>
                </c:pt>
                <c:pt idx="49">
                  <c:v>1/9/2025</c:v>
                </c:pt>
                <c:pt idx="50">
                  <c:v>2/9/2025</c:v>
                </c:pt>
                <c:pt idx="51">
                  <c:v>3/9/2025</c:v>
                </c:pt>
                <c:pt idx="52">
                  <c:v>4/9/2025</c:v>
                </c:pt>
                <c:pt idx="53">
                  <c:v>5/9/2025</c:v>
                </c:pt>
                <c:pt idx="54">
                  <c:v>6/9/2025</c:v>
                </c:pt>
                <c:pt idx="55">
                  <c:v>7/9/2025</c:v>
                </c:pt>
                <c:pt idx="56">
                  <c:v>8/9/2025</c:v>
                </c:pt>
                <c:pt idx="57">
                  <c:v>9/9/2025</c:v>
                </c:pt>
                <c:pt idx="58">
                  <c:v>10/9/2025</c:v>
                </c:pt>
                <c:pt idx="59">
                  <c:v>11/9/2025</c:v>
                </c:pt>
                <c:pt idx="60">
                  <c:v>12/9/2025</c:v>
                </c:pt>
                <c:pt idx="61">
                  <c:v>13/9/2025</c:v>
                </c:pt>
                <c:pt idx="62">
                  <c:v>14/9/2025</c:v>
                </c:pt>
                <c:pt idx="63">
                  <c:v>15/9/2025</c:v>
                </c:pt>
                <c:pt idx="64">
                  <c:v>16/9/2025</c:v>
                </c:pt>
                <c:pt idx="65">
                  <c:v>17/9/2025</c:v>
                </c:pt>
                <c:pt idx="66">
                  <c:v>18/9/2025</c:v>
                </c:pt>
                <c:pt idx="67">
                  <c:v>19/9/2025</c:v>
                </c:pt>
                <c:pt idx="68">
                  <c:v>20/9/2025</c:v>
                </c:pt>
                <c:pt idx="69">
                  <c:v>21/9/2025</c:v>
                </c:pt>
                <c:pt idx="70">
                  <c:v>22/9/2025</c:v>
                </c:pt>
                <c:pt idx="71">
                  <c:v>23/9/2025</c:v>
                </c:pt>
                <c:pt idx="72">
                  <c:v>24/9/2025</c:v>
                </c:pt>
                <c:pt idx="73">
                  <c:v>25/9/2025</c:v>
                </c:pt>
                <c:pt idx="74">
                  <c:v>26/9/2025</c:v>
                </c:pt>
                <c:pt idx="75">
                  <c:v>27/9/2025</c:v>
                </c:pt>
                <c:pt idx="76">
                  <c:v>28/9/2025</c:v>
                </c:pt>
                <c:pt idx="77">
                  <c:v>29/9/2025</c:v>
                </c:pt>
                <c:pt idx="78">
                  <c:v>30/9/2025</c:v>
                </c:pt>
                <c:pt idx="79">
                  <c:v>1/10/2025</c:v>
                </c:pt>
                <c:pt idx="80">
                  <c:v>2/10/2025</c:v>
                </c:pt>
                <c:pt idx="81">
                  <c:v>3/10/2025</c:v>
                </c:pt>
                <c:pt idx="82">
                  <c:v>4/10/2025</c:v>
                </c:pt>
                <c:pt idx="83">
                  <c:v>5/10/2025</c:v>
                </c:pt>
                <c:pt idx="84">
                  <c:v>6/10/2025</c:v>
                </c:pt>
                <c:pt idx="85">
                  <c:v>7/10/2025</c:v>
                </c:pt>
                <c:pt idx="86">
                  <c:v>8/10/2025</c:v>
                </c:pt>
                <c:pt idx="87">
                  <c:v>9/10/2025</c:v>
                </c:pt>
                <c:pt idx="88">
                  <c:v>10/10/2025</c:v>
                </c:pt>
                <c:pt idx="89">
                  <c:v>11/10/2025</c:v>
                </c:pt>
                <c:pt idx="90">
                  <c:v>12/10/2025</c:v>
                </c:pt>
                <c:pt idx="91">
                  <c:v>13/10/2025</c:v>
                </c:pt>
                <c:pt idx="92">
                  <c:v>14/10/2025</c:v>
                </c:pt>
                <c:pt idx="93">
                  <c:v>15/10/2025</c:v>
                </c:pt>
                <c:pt idx="94">
                  <c:v>16/10/2025</c:v>
                </c:pt>
                <c:pt idx="95">
                  <c:v>17/10/2025</c:v>
                </c:pt>
                <c:pt idx="96">
                  <c:v>18/10/2025</c:v>
                </c:pt>
                <c:pt idx="97">
                  <c:v>19/10/2025</c:v>
                </c:pt>
                <c:pt idx="98">
                  <c:v>20/10/2025</c:v>
                </c:pt>
                <c:pt idx="99">
                  <c:v>21/10/2025</c:v>
                </c:pt>
                <c:pt idx="100">
                  <c:v>22/10/2025</c:v>
                </c:pt>
                <c:pt idx="101">
                  <c:v>23/10/2025</c:v>
                </c:pt>
                <c:pt idx="102">
                  <c:v>24/10/2025</c:v>
                </c:pt>
                <c:pt idx="103">
                  <c:v>25/10/2025</c:v>
                </c:pt>
                <c:pt idx="104">
                  <c:v>26/10/2025</c:v>
                </c:pt>
                <c:pt idx="105">
                  <c:v>27/10/2025</c:v>
                </c:pt>
                <c:pt idx="106">
                  <c:v>28/10/2025</c:v>
                </c:pt>
                <c:pt idx="107">
                  <c:v>29/10/2025</c:v>
                </c:pt>
                <c:pt idx="108">
                  <c:v>30/10/2025</c:v>
                </c:pt>
                <c:pt idx="109">
                  <c:v>31/10/2025</c:v>
                </c:pt>
                <c:pt idx="110">
                  <c:v>1/11/2025</c:v>
                </c:pt>
                <c:pt idx="111">
                  <c:v>2/11/2025</c:v>
                </c:pt>
                <c:pt idx="112">
                  <c:v>3/11/2025</c:v>
                </c:pt>
                <c:pt idx="113">
                  <c:v>4/11/2025</c:v>
                </c:pt>
                <c:pt idx="114">
                  <c:v>5/11/2025</c:v>
                </c:pt>
                <c:pt idx="115">
                  <c:v>6/11/2025</c:v>
                </c:pt>
                <c:pt idx="116">
                  <c:v>7/11/2025</c:v>
                </c:pt>
                <c:pt idx="117">
                  <c:v>8/11/2025</c:v>
                </c:pt>
                <c:pt idx="118">
                  <c:v>9/11/2025</c:v>
                </c:pt>
                <c:pt idx="119">
                  <c:v>10/11/2025</c:v>
                </c:pt>
                <c:pt idx="120">
                  <c:v>11/11/2025</c:v>
                </c:pt>
                <c:pt idx="121">
                  <c:v>12/11/2025</c:v>
                </c:pt>
                <c:pt idx="122">
                  <c:v>(en blanco)</c:v>
                </c:pt>
              </c:strCache>
            </c:strRef>
          </c:cat>
          <c:val>
            <c:numRef>
              <c:f>PlanificadosVaciados!$O$6:$O$129</c:f>
              <c:numCache>
                <c:formatCode>General</c:formatCode>
                <c:ptCount val="123"/>
                <c:pt idx="0">
                  <c:v>4431</c:v>
                </c:pt>
                <c:pt idx="1">
                  <c:v>5058</c:v>
                </c:pt>
                <c:pt idx="2">
                  <c:v>4809</c:v>
                </c:pt>
                <c:pt idx="3">
                  <c:v>5110</c:v>
                </c:pt>
                <c:pt idx="4">
                  <c:v>3262</c:v>
                </c:pt>
                <c:pt idx="5">
                  <c:v>2280</c:v>
                </c:pt>
                <c:pt idx="6">
                  <c:v>3410</c:v>
                </c:pt>
                <c:pt idx="7">
                  <c:v>4723</c:v>
                </c:pt>
                <c:pt idx="8">
                  <c:v>5681</c:v>
                </c:pt>
                <c:pt idx="9">
                  <c:v>5743</c:v>
                </c:pt>
                <c:pt idx="10">
                  <c:v>5474</c:v>
                </c:pt>
                <c:pt idx="11">
                  <c:v>5558</c:v>
                </c:pt>
                <c:pt idx="12">
                  <c:v>2847</c:v>
                </c:pt>
                <c:pt idx="13">
                  <c:v>3443</c:v>
                </c:pt>
                <c:pt idx="14">
                  <c:v>3883</c:v>
                </c:pt>
                <c:pt idx="15">
                  <c:v>4938</c:v>
                </c:pt>
                <c:pt idx="16">
                  <c:v>4713</c:v>
                </c:pt>
                <c:pt idx="17">
                  <c:v>5113</c:v>
                </c:pt>
                <c:pt idx="18">
                  <c:v>5290</c:v>
                </c:pt>
                <c:pt idx="19">
                  <c:v>2747</c:v>
                </c:pt>
                <c:pt idx="20">
                  <c:v>3711</c:v>
                </c:pt>
                <c:pt idx="21">
                  <c:v>5200</c:v>
                </c:pt>
                <c:pt idx="22">
                  <c:v>4989</c:v>
                </c:pt>
                <c:pt idx="23">
                  <c:v>5212</c:v>
                </c:pt>
                <c:pt idx="24">
                  <c:v>5387</c:v>
                </c:pt>
                <c:pt idx="25">
                  <c:v>5276</c:v>
                </c:pt>
                <c:pt idx="26">
                  <c:v>2924</c:v>
                </c:pt>
                <c:pt idx="27">
                  <c:v>3559</c:v>
                </c:pt>
                <c:pt idx="28">
                  <c:v>2961</c:v>
                </c:pt>
                <c:pt idx="29">
                  <c:v>2115</c:v>
                </c:pt>
                <c:pt idx="30">
                  <c:v>5202</c:v>
                </c:pt>
                <c:pt idx="31">
                  <c:v>5120</c:v>
                </c:pt>
                <c:pt idx="32">
                  <c:v>5890</c:v>
                </c:pt>
                <c:pt idx="33">
                  <c:v>2988</c:v>
                </c:pt>
                <c:pt idx="34">
                  <c:v>3480</c:v>
                </c:pt>
                <c:pt idx="35">
                  <c:v>5220</c:v>
                </c:pt>
                <c:pt idx="36">
                  <c:v>4586</c:v>
                </c:pt>
                <c:pt idx="37">
                  <c:v>5721</c:v>
                </c:pt>
                <c:pt idx="38">
                  <c:v>5854</c:v>
                </c:pt>
                <c:pt idx="39">
                  <c:v>5607</c:v>
                </c:pt>
                <c:pt idx="40">
                  <c:v>5063</c:v>
                </c:pt>
                <c:pt idx="41">
                  <c:v>1160</c:v>
                </c:pt>
                <c:pt idx="42">
                  <c:v>3898</c:v>
                </c:pt>
                <c:pt idx="43">
                  <c:v>5426</c:v>
                </c:pt>
                <c:pt idx="44">
                  <c:v>5211</c:v>
                </c:pt>
                <c:pt idx="45">
                  <c:v>5765</c:v>
                </c:pt>
                <c:pt idx="46">
                  <c:v>5740</c:v>
                </c:pt>
                <c:pt idx="47">
                  <c:v>3036</c:v>
                </c:pt>
                <c:pt idx="48">
                  <c:v>3989</c:v>
                </c:pt>
                <c:pt idx="49">
                  <c:v>4784</c:v>
                </c:pt>
                <c:pt idx="50">
                  <c:v>5431</c:v>
                </c:pt>
                <c:pt idx="51">
                  <c:v>6089</c:v>
                </c:pt>
                <c:pt idx="52">
                  <c:v>5646</c:v>
                </c:pt>
                <c:pt idx="53">
                  <c:v>5790</c:v>
                </c:pt>
                <c:pt idx="54">
                  <c:v>3006</c:v>
                </c:pt>
                <c:pt idx="55">
                  <c:v>3935</c:v>
                </c:pt>
                <c:pt idx="56">
                  <c:v>4799</c:v>
                </c:pt>
                <c:pt idx="57">
                  <c:v>4673</c:v>
                </c:pt>
                <c:pt idx="58">
                  <c:v>5099</c:v>
                </c:pt>
                <c:pt idx="59">
                  <c:v>5035</c:v>
                </c:pt>
                <c:pt idx="60">
                  <c:v>5348</c:v>
                </c:pt>
                <c:pt idx="61">
                  <c:v>2859</c:v>
                </c:pt>
                <c:pt idx="62">
                  <c:v>3495</c:v>
                </c:pt>
                <c:pt idx="63">
                  <c:v>4858</c:v>
                </c:pt>
                <c:pt idx="64">
                  <c:v>5044</c:v>
                </c:pt>
                <c:pt idx="65">
                  <c:v>5392</c:v>
                </c:pt>
                <c:pt idx="66">
                  <c:v>5080</c:v>
                </c:pt>
                <c:pt idx="67">
                  <c:v>5412</c:v>
                </c:pt>
                <c:pt idx="68">
                  <c:v>3102</c:v>
                </c:pt>
                <c:pt idx="69">
                  <c:v>3962</c:v>
                </c:pt>
                <c:pt idx="70">
                  <c:v>5417</c:v>
                </c:pt>
                <c:pt idx="71">
                  <c:v>5357</c:v>
                </c:pt>
                <c:pt idx="72">
                  <c:v>4545</c:v>
                </c:pt>
                <c:pt idx="73">
                  <c:v>5389</c:v>
                </c:pt>
                <c:pt idx="74">
                  <c:v>5449</c:v>
                </c:pt>
                <c:pt idx="75">
                  <c:v>2447</c:v>
                </c:pt>
                <c:pt idx="76">
                  <c:v>3759</c:v>
                </c:pt>
                <c:pt idx="77">
                  <c:v>4782</c:v>
                </c:pt>
                <c:pt idx="78">
                  <c:v>4760</c:v>
                </c:pt>
                <c:pt idx="79">
                  <c:v>2280</c:v>
                </c:pt>
                <c:pt idx="80">
                  <c:v>4257</c:v>
                </c:pt>
                <c:pt idx="81">
                  <c:v>4630</c:v>
                </c:pt>
                <c:pt idx="82">
                  <c:v>2086</c:v>
                </c:pt>
                <c:pt idx="83">
                  <c:v>3106</c:v>
                </c:pt>
                <c:pt idx="84">
                  <c:v>3481</c:v>
                </c:pt>
                <c:pt idx="85">
                  <c:v>3602</c:v>
                </c:pt>
                <c:pt idx="86">
                  <c:v>4909</c:v>
                </c:pt>
                <c:pt idx="87">
                  <c:v>5165</c:v>
                </c:pt>
                <c:pt idx="88">
                  <c:v>4932</c:v>
                </c:pt>
                <c:pt idx="89">
                  <c:v>2702</c:v>
                </c:pt>
                <c:pt idx="90">
                  <c:v>3178</c:v>
                </c:pt>
                <c:pt idx="91">
                  <c:v>4918</c:v>
                </c:pt>
                <c:pt idx="92">
                  <c:v>258</c:v>
                </c:pt>
                <c:pt idx="93">
                  <c:v>3228</c:v>
                </c:pt>
                <c:pt idx="94">
                  <c:v>4667</c:v>
                </c:pt>
                <c:pt idx="95">
                  <c:v>3834</c:v>
                </c:pt>
                <c:pt idx="96">
                  <c:v>1080</c:v>
                </c:pt>
                <c:pt idx="97">
                  <c:v>2018</c:v>
                </c:pt>
                <c:pt idx="98">
                  <c:v>2682</c:v>
                </c:pt>
                <c:pt idx="99">
                  <c:v>3530</c:v>
                </c:pt>
                <c:pt idx="100">
                  <c:v>3749</c:v>
                </c:pt>
                <c:pt idx="101">
                  <c:v>3893</c:v>
                </c:pt>
                <c:pt idx="102">
                  <c:v>3615</c:v>
                </c:pt>
                <c:pt idx="103">
                  <c:v>1770</c:v>
                </c:pt>
                <c:pt idx="104">
                  <c:v>2494</c:v>
                </c:pt>
                <c:pt idx="105">
                  <c:v>3297</c:v>
                </c:pt>
                <c:pt idx="106">
                  <c:v>1378</c:v>
                </c:pt>
                <c:pt idx="107">
                  <c:v>1888</c:v>
                </c:pt>
                <c:pt idx="108">
                  <c:v>3825</c:v>
                </c:pt>
                <c:pt idx="109">
                  <c:v>3751</c:v>
                </c:pt>
                <c:pt idx="110">
                  <c:v>2090</c:v>
                </c:pt>
                <c:pt idx="111">
                  <c:v>1808</c:v>
                </c:pt>
                <c:pt idx="112">
                  <c:v>4087</c:v>
                </c:pt>
                <c:pt idx="113">
                  <c:v>3789</c:v>
                </c:pt>
                <c:pt idx="114">
                  <c:v>3926</c:v>
                </c:pt>
                <c:pt idx="115">
                  <c:v>4356</c:v>
                </c:pt>
                <c:pt idx="116">
                  <c:v>4299</c:v>
                </c:pt>
                <c:pt idx="117">
                  <c:v>2055</c:v>
                </c:pt>
                <c:pt idx="118">
                  <c:v>2043</c:v>
                </c:pt>
                <c:pt idx="119">
                  <c:v>3682</c:v>
                </c:pt>
                <c:pt idx="120">
                  <c:v>3709</c:v>
                </c:pt>
                <c:pt idx="121">
                  <c:v>3512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2D-4642-B87C-9A6CFF8D7677}"/>
            </c:ext>
          </c:extLst>
        </c:ser>
        <c:ser>
          <c:idx val="3"/>
          <c:order val="3"/>
          <c:tx>
            <c:strRef>
              <c:f>PlanificadosVaciados!$P$5</c:f>
              <c:strCache>
                <c:ptCount val="1"/>
                <c:pt idx="0">
                  <c:v>Suma de VACIADOS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PlanificadosVaciados!$L$6:$L$129</c:f>
              <c:strCache>
                <c:ptCount val="123"/>
                <c:pt idx="0">
                  <c:v>14/7/2025</c:v>
                </c:pt>
                <c:pt idx="1">
                  <c:v>15/7/2025</c:v>
                </c:pt>
                <c:pt idx="2">
                  <c:v>16/7/2025</c:v>
                </c:pt>
                <c:pt idx="3">
                  <c:v>17/7/2025</c:v>
                </c:pt>
                <c:pt idx="4">
                  <c:v>18/7/2025</c:v>
                </c:pt>
                <c:pt idx="5">
                  <c:v>19/7/2025</c:v>
                </c:pt>
                <c:pt idx="6">
                  <c:v>20/7/2025</c:v>
                </c:pt>
                <c:pt idx="7">
                  <c:v>21/7/2025</c:v>
                </c:pt>
                <c:pt idx="8">
                  <c:v>22/7/2025</c:v>
                </c:pt>
                <c:pt idx="9">
                  <c:v>23/7/2025</c:v>
                </c:pt>
                <c:pt idx="10">
                  <c:v>24/7/2025</c:v>
                </c:pt>
                <c:pt idx="11">
                  <c:v>25/7/2025</c:v>
                </c:pt>
                <c:pt idx="12">
                  <c:v>26/7/2025</c:v>
                </c:pt>
                <c:pt idx="13">
                  <c:v>27/7/2025</c:v>
                </c:pt>
                <c:pt idx="14">
                  <c:v>28/7/2025</c:v>
                </c:pt>
                <c:pt idx="15">
                  <c:v>29/7/2025</c:v>
                </c:pt>
                <c:pt idx="16">
                  <c:v>30/7/2025</c:v>
                </c:pt>
                <c:pt idx="17">
                  <c:v>31/7/2025</c:v>
                </c:pt>
                <c:pt idx="18">
                  <c:v>1/8/2025</c:v>
                </c:pt>
                <c:pt idx="19">
                  <c:v>2/8/2025</c:v>
                </c:pt>
                <c:pt idx="20">
                  <c:v>3/8/2025</c:v>
                </c:pt>
                <c:pt idx="21">
                  <c:v>4/8/2025</c:v>
                </c:pt>
                <c:pt idx="22">
                  <c:v>5/8/2025</c:v>
                </c:pt>
                <c:pt idx="23">
                  <c:v>6/8/2025</c:v>
                </c:pt>
                <c:pt idx="24">
                  <c:v>7/8/2025</c:v>
                </c:pt>
                <c:pt idx="25">
                  <c:v>8/8/2025</c:v>
                </c:pt>
                <c:pt idx="26">
                  <c:v>9/8/2025</c:v>
                </c:pt>
                <c:pt idx="27">
                  <c:v>10/8/2025</c:v>
                </c:pt>
                <c:pt idx="28">
                  <c:v>11/8/2025</c:v>
                </c:pt>
                <c:pt idx="29">
                  <c:v>12/8/2025</c:v>
                </c:pt>
                <c:pt idx="30">
                  <c:v>13/8/2025</c:v>
                </c:pt>
                <c:pt idx="31">
                  <c:v>14/8/2025</c:v>
                </c:pt>
                <c:pt idx="32">
                  <c:v>15/8/2025</c:v>
                </c:pt>
                <c:pt idx="33">
                  <c:v>16/8/2025</c:v>
                </c:pt>
                <c:pt idx="34">
                  <c:v>17/8/2025</c:v>
                </c:pt>
                <c:pt idx="35">
                  <c:v>18/8/2025</c:v>
                </c:pt>
                <c:pt idx="36">
                  <c:v>19/8/2025</c:v>
                </c:pt>
                <c:pt idx="37">
                  <c:v>20/8/2025</c:v>
                </c:pt>
                <c:pt idx="38">
                  <c:v>21/8/2025</c:v>
                </c:pt>
                <c:pt idx="39">
                  <c:v>22/8/2025</c:v>
                </c:pt>
                <c:pt idx="40">
                  <c:v>23/8/2025</c:v>
                </c:pt>
                <c:pt idx="41">
                  <c:v>24/8/2025</c:v>
                </c:pt>
                <c:pt idx="42">
                  <c:v>25/8/2025</c:v>
                </c:pt>
                <c:pt idx="43">
                  <c:v>26/8/2025</c:v>
                </c:pt>
                <c:pt idx="44">
                  <c:v>27/8/2025</c:v>
                </c:pt>
                <c:pt idx="45">
                  <c:v>28/8/2025</c:v>
                </c:pt>
                <c:pt idx="46">
                  <c:v>29/8/2025</c:v>
                </c:pt>
                <c:pt idx="47">
                  <c:v>30/8/2025</c:v>
                </c:pt>
                <c:pt idx="48">
                  <c:v>31/8/2025</c:v>
                </c:pt>
                <c:pt idx="49">
                  <c:v>1/9/2025</c:v>
                </c:pt>
                <c:pt idx="50">
                  <c:v>2/9/2025</c:v>
                </c:pt>
                <c:pt idx="51">
                  <c:v>3/9/2025</c:v>
                </c:pt>
                <c:pt idx="52">
                  <c:v>4/9/2025</c:v>
                </c:pt>
                <c:pt idx="53">
                  <c:v>5/9/2025</c:v>
                </c:pt>
                <c:pt idx="54">
                  <c:v>6/9/2025</c:v>
                </c:pt>
                <c:pt idx="55">
                  <c:v>7/9/2025</c:v>
                </c:pt>
                <c:pt idx="56">
                  <c:v>8/9/2025</c:v>
                </c:pt>
                <c:pt idx="57">
                  <c:v>9/9/2025</c:v>
                </c:pt>
                <c:pt idx="58">
                  <c:v>10/9/2025</c:v>
                </c:pt>
                <c:pt idx="59">
                  <c:v>11/9/2025</c:v>
                </c:pt>
                <c:pt idx="60">
                  <c:v>12/9/2025</c:v>
                </c:pt>
                <c:pt idx="61">
                  <c:v>13/9/2025</c:v>
                </c:pt>
                <c:pt idx="62">
                  <c:v>14/9/2025</c:v>
                </c:pt>
                <c:pt idx="63">
                  <c:v>15/9/2025</c:v>
                </c:pt>
                <c:pt idx="64">
                  <c:v>16/9/2025</c:v>
                </c:pt>
                <c:pt idx="65">
                  <c:v>17/9/2025</c:v>
                </c:pt>
                <c:pt idx="66">
                  <c:v>18/9/2025</c:v>
                </c:pt>
                <c:pt idx="67">
                  <c:v>19/9/2025</c:v>
                </c:pt>
                <c:pt idx="68">
                  <c:v>20/9/2025</c:v>
                </c:pt>
                <c:pt idx="69">
                  <c:v>21/9/2025</c:v>
                </c:pt>
                <c:pt idx="70">
                  <c:v>22/9/2025</c:v>
                </c:pt>
                <c:pt idx="71">
                  <c:v>23/9/2025</c:v>
                </c:pt>
                <c:pt idx="72">
                  <c:v>24/9/2025</c:v>
                </c:pt>
                <c:pt idx="73">
                  <c:v>25/9/2025</c:v>
                </c:pt>
                <c:pt idx="74">
                  <c:v>26/9/2025</c:v>
                </c:pt>
                <c:pt idx="75">
                  <c:v>27/9/2025</c:v>
                </c:pt>
                <c:pt idx="76">
                  <c:v>28/9/2025</c:v>
                </c:pt>
                <c:pt idx="77">
                  <c:v>29/9/2025</c:v>
                </c:pt>
                <c:pt idx="78">
                  <c:v>30/9/2025</c:v>
                </c:pt>
                <c:pt idx="79">
                  <c:v>1/10/2025</c:v>
                </c:pt>
                <c:pt idx="80">
                  <c:v>2/10/2025</c:v>
                </c:pt>
                <c:pt idx="81">
                  <c:v>3/10/2025</c:v>
                </c:pt>
                <c:pt idx="82">
                  <c:v>4/10/2025</c:v>
                </c:pt>
                <c:pt idx="83">
                  <c:v>5/10/2025</c:v>
                </c:pt>
                <c:pt idx="84">
                  <c:v>6/10/2025</c:v>
                </c:pt>
                <c:pt idx="85">
                  <c:v>7/10/2025</c:v>
                </c:pt>
                <c:pt idx="86">
                  <c:v>8/10/2025</c:v>
                </c:pt>
                <c:pt idx="87">
                  <c:v>9/10/2025</c:v>
                </c:pt>
                <c:pt idx="88">
                  <c:v>10/10/2025</c:v>
                </c:pt>
                <c:pt idx="89">
                  <c:v>11/10/2025</c:v>
                </c:pt>
                <c:pt idx="90">
                  <c:v>12/10/2025</c:v>
                </c:pt>
                <c:pt idx="91">
                  <c:v>13/10/2025</c:v>
                </c:pt>
                <c:pt idx="92">
                  <c:v>14/10/2025</c:v>
                </c:pt>
                <c:pt idx="93">
                  <c:v>15/10/2025</c:v>
                </c:pt>
                <c:pt idx="94">
                  <c:v>16/10/2025</c:v>
                </c:pt>
                <c:pt idx="95">
                  <c:v>17/10/2025</c:v>
                </c:pt>
                <c:pt idx="96">
                  <c:v>18/10/2025</c:v>
                </c:pt>
                <c:pt idx="97">
                  <c:v>19/10/2025</c:v>
                </c:pt>
                <c:pt idx="98">
                  <c:v>20/10/2025</c:v>
                </c:pt>
                <c:pt idx="99">
                  <c:v>21/10/2025</c:v>
                </c:pt>
                <c:pt idx="100">
                  <c:v>22/10/2025</c:v>
                </c:pt>
                <c:pt idx="101">
                  <c:v>23/10/2025</c:v>
                </c:pt>
                <c:pt idx="102">
                  <c:v>24/10/2025</c:v>
                </c:pt>
                <c:pt idx="103">
                  <c:v>25/10/2025</c:v>
                </c:pt>
                <c:pt idx="104">
                  <c:v>26/10/2025</c:v>
                </c:pt>
                <c:pt idx="105">
                  <c:v>27/10/2025</c:v>
                </c:pt>
                <c:pt idx="106">
                  <c:v>28/10/2025</c:v>
                </c:pt>
                <c:pt idx="107">
                  <c:v>29/10/2025</c:v>
                </c:pt>
                <c:pt idx="108">
                  <c:v>30/10/2025</c:v>
                </c:pt>
                <c:pt idx="109">
                  <c:v>31/10/2025</c:v>
                </c:pt>
                <c:pt idx="110">
                  <c:v>1/11/2025</c:v>
                </c:pt>
                <c:pt idx="111">
                  <c:v>2/11/2025</c:v>
                </c:pt>
                <c:pt idx="112">
                  <c:v>3/11/2025</c:v>
                </c:pt>
                <c:pt idx="113">
                  <c:v>4/11/2025</c:v>
                </c:pt>
                <c:pt idx="114">
                  <c:v>5/11/2025</c:v>
                </c:pt>
                <c:pt idx="115">
                  <c:v>6/11/2025</c:v>
                </c:pt>
                <c:pt idx="116">
                  <c:v>7/11/2025</c:v>
                </c:pt>
                <c:pt idx="117">
                  <c:v>8/11/2025</c:v>
                </c:pt>
                <c:pt idx="118">
                  <c:v>9/11/2025</c:v>
                </c:pt>
                <c:pt idx="119">
                  <c:v>10/11/2025</c:v>
                </c:pt>
                <c:pt idx="120">
                  <c:v>11/11/2025</c:v>
                </c:pt>
                <c:pt idx="121">
                  <c:v>12/11/2025</c:v>
                </c:pt>
                <c:pt idx="122">
                  <c:v>(en blanco)</c:v>
                </c:pt>
              </c:strCache>
            </c:strRef>
          </c:cat>
          <c:val>
            <c:numRef>
              <c:f>PlanificadosVaciados!$P$6:$P$129</c:f>
              <c:numCache>
                <c:formatCode>General</c:formatCode>
                <c:ptCount val="123"/>
                <c:pt idx="0">
                  <c:v>4245</c:v>
                </c:pt>
                <c:pt idx="1">
                  <c:v>4838</c:v>
                </c:pt>
                <c:pt idx="2">
                  <c:v>4589</c:v>
                </c:pt>
                <c:pt idx="3">
                  <c:v>4833</c:v>
                </c:pt>
                <c:pt idx="4">
                  <c:v>3157</c:v>
                </c:pt>
                <c:pt idx="5">
                  <c:v>2054</c:v>
                </c:pt>
                <c:pt idx="6">
                  <c:v>3258</c:v>
                </c:pt>
                <c:pt idx="7">
                  <c:v>4477</c:v>
                </c:pt>
                <c:pt idx="8">
                  <c:v>5340</c:v>
                </c:pt>
                <c:pt idx="9">
                  <c:v>5441</c:v>
                </c:pt>
                <c:pt idx="10">
                  <c:v>5185</c:v>
                </c:pt>
                <c:pt idx="11">
                  <c:v>5191</c:v>
                </c:pt>
                <c:pt idx="12">
                  <c:v>2623</c:v>
                </c:pt>
                <c:pt idx="13">
                  <c:v>2931</c:v>
                </c:pt>
                <c:pt idx="14">
                  <c:v>3724</c:v>
                </c:pt>
                <c:pt idx="15">
                  <c:v>4679</c:v>
                </c:pt>
                <c:pt idx="16">
                  <c:v>4514</c:v>
                </c:pt>
                <c:pt idx="17">
                  <c:v>4760</c:v>
                </c:pt>
                <c:pt idx="18">
                  <c:v>4988</c:v>
                </c:pt>
                <c:pt idx="19">
                  <c:v>2509</c:v>
                </c:pt>
                <c:pt idx="20">
                  <c:v>3568</c:v>
                </c:pt>
                <c:pt idx="21">
                  <c:v>4936</c:v>
                </c:pt>
                <c:pt idx="22">
                  <c:v>4707</c:v>
                </c:pt>
                <c:pt idx="23">
                  <c:v>4845</c:v>
                </c:pt>
                <c:pt idx="24">
                  <c:v>5081</c:v>
                </c:pt>
                <c:pt idx="25">
                  <c:v>5003</c:v>
                </c:pt>
                <c:pt idx="26">
                  <c:v>2652</c:v>
                </c:pt>
                <c:pt idx="27">
                  <c:v>3240</c:v>
                </c:pt>
                <c:pt idx="28">
                  <c:v>2716</c:v>
                </c:pt>
                <c:pt idx="29">
                  <c:v>2088</c:v>
                </c:pt>
                <c:pt idx="30">
                  <c:v>4865</c:v>
                </c:pt>
                <c:pt idx="31">
                  <c:v>4808</c:v>
                </c:pt>
                <c:pt idx="32">
                  <c:v>4491</c:v>
                </c:pt>
                <c:pt idx="33">
                  <c:v>2733</c:v>
                </c:pt>
                <c:pt idx="34">
                  <c:v>3356</c:v>
                </c:pt>
                <c:pt idx="35">
                  <c:v>4526</c:v>
                </c:pt>
                <c:pt idx="36">
                  <c:v>4317</c:v>
                </c:pt>
                <c:pt idx="37">
                  <c:v>5413</c:v>
                </c:pt>
                <c:pt idx="38">
                  <c:v>5403</c:v>
                </c:pt>
                <c:pt idx="39">
                  <c:v>5291</c:v>
                </c:pt>
                <c:pt idx="40">
                  <c:v>4713</c:v>
                </c:pt>
                <c:pt idx="41">
                  <c:v>1075</c:v>
                </c:pt>
                <c:pt idx="42">
                  <c:v>3750</c:v>
                </c:pt>
                <c:pt idx="43">
                  <c:v>5124</c:v>
                </c:pt>
                <c:pt idx="44">
                  <c:v>4818</c:v>
                </c:pt>
                <c:pt idx="45">
                  <c:v>5474</c:v>
                </c:pt>
                <c:pt idx="46">
                  <c:v>5394</c:v>
                </c:pt>
                <c:pt idx="47">
                  <c:v>2798</c:v>
                </c:pt>
                <c:pt idx="48">
                  <c:v>3848</c:v>
                </c:pt>
                <c:pt idx="49">
                  <c:v>4425</c:v>
                </c:pt>
                <c:pt idx="50">
                  <c:v>5148</c:v>
                </c:pt>
                <c:pt idx="51">
                  <c:v>5566</c:v>
                </c:pt>
                <c:pt idx="52">
                  <c:v>5329</c:v>
                </c:pt>
                <c:pt idx="53">
                  <c:v>5419</c:v>
                </c:pt>
                <c:pt idx="54">
                  <c:v>2772</c:v>
                </c:pt>
                <c:pt idx="55">
                  <c:v>3800</c:v>
                </c:pt>
                <c:pt idx="56">
                  <c:v>4496</c:v>
                </c:pt>
                <c:pt idx="57">
                  <c:v>4430</c:v>
                </c:pt>
                <c:pt idx="58">
                  <c:v>4740</c:v>
                </c:pt>
                <c:pt idx="59">
                  <c:v>4718</c:v>
                </c:pt>
                <c:pt idx="60">
                  <c:v>5059</c:v>
                </c:pt>
                <c:pt idx="61">
                  <c:v>2536</c:v>
                </c:pt>
                <c:pt idx="62">
                  <c:v>3244</c:v>
                </c:pt>
                <c:pt idx="63">
                  <c:v>4605</c:v>
                </c:pt>
                <c:pt idx="64">
                  <c:v>4733</c:v>
                </c:pt>
                <c:pt idx="65">
                  <c:v>5091</c:v>
                </c:pt>
                <c:pt idx="66">
                  <c:v>4788</c:v>
                </c:pt>
                <c:pt idx="67">
                  <c:v>5068</c:v>
                </c:pt>
                <c:pt idx="68">
                  <c:v>2785</c:v>
                </c:pt>
                <c:pt idx="69">
                  <c:v>3811</c:v>
                </c:pt>
                <c:pt idx="70">
                  <c:v>5089</c:v>
                </c:pt>
                <c:pt idx="71">
                  <c:v>5056</c:v>
                </c:pt>
                <c:pt idx="72">
                  <c:v>4266</c:v>
                </c:pt>
                <c:pt idx="73">
                  <c:v>5067</c:v>
                </c:pt>
                <c:pt idx="74">
                  <c:v>5120</c:v>
                </c:pt>
                <c:pt idx="75">
                  <c:v>2139</c:v>
                </c:pt>
                <c:pt idx="76">
                  <c:v>3607</c:v>
                </c:pt>
                <c:pt idx="77">
                  <c:v>4518</c:v>
                </c:pt>
                <c:pt idx="78">
                  <c:v>4343</c:v>
                </c:pt>
                <c:pt idx="79">
                  <c:v>2142</c:v>
                </c:pt>
                <c:pt idx="80">
                  <c:v>3995</c:v>
                </c:pt>
                <c:pt idx="81">
                  <c:v>4356</c:v>
                </c:pt>
                <c:pt idx="82">
                  <c:v>1903</c:v>
                </c:pt>
                <c:pt idx="83">
                  <c:v>2956</c:v>
                </c:pt>
                <c:pt idx="84">
                  <c:v>3311</c:v>
                </c:pt>
                <c:pt idx="85">
                  <c:v>3380</c:v>
                </c:pt>
                <c:pt idx="86">
                  <c:v>4574</c:v>
                </c:pt>
                <c:pt idx="87">
                  <c:v>4806</c:v>
                </c:pt>
                <c:pt idx="88">
                  <c:v>4601</c:v>
                </c:pt>
                <c:pt idx="89">
                  <c:v>2347</c:v>
                </c:pt>
                <c:pt idx="90">
                  <c:v>3040</c:v>
                </c:pt>
                <c:pt idx="91">
                  <c:v>4535</c:v>
                </c:pt>
                <c:pt idx="92">
                  <c:v>224</c:v>
                </c:pt>
                <c:pt idx="93">
                  <c:v>3062</c:v>
                </c:pt>
                <c:pt idx="94">
                  <c:v>4324</c:v>
                </c:pt>
                <c:pt idx="95">
                  <c:v>3638</c:v>
                </c:pt>
                <c:pt idx="96">
                  <c:v>969</c:v>
                </c:pt>
                <c:pt idx="97">
                  <c:v>1953</c:v>
                </c:pt>
                <c:pt idx="98">
                  <c:v>2456</c:v>
                </c:pt>
                <c:pt idx="99">
                  <c:v>3320</c:v>
                </c:pt>
                <c:pt idx="100">
                  <c:v>3580</c:v>
                </c:pt>
                <c:pt idx="101">
                  <c:v>3710</c:v>
                </c:pt>
                <c:pt idx="102">
                  <c:v>3442</c:v>
                </c:pt>
                <c:pt idx="103">
                  <c:v>1602</c:v>
                </c:pt>
                <c:pt idx="104">
                  <c:v>2113</c:v>
                </c:pt>
                <c:pt idx="105">
                  <c:v>3122</c:v>
                </c:pt>
                <c:pt idx="106">
                  <c:v>1240</c:v>
                </c:pt>
                <c:pt idx="107">
                  <c:v>1848</c:v>
                </c:pt>
                <c:pt idx="108">
                  <c:v>3591</c:v>
                </c:pt>
                <c:pt idx="109">
                  <c:v>3506</c:v>
                </c:pt>
                <c:pt idx="110">
                  <c:v>1815</c:v>
                </c:pt>
                <c:pt idx="111">
                  <c:v>1738</c:v>
                </c:pt>
                <c:pt idx="112">
                  <c:v>3744</c:v>
                </c:pt>
                <c:pt idx="113">
                  <c:v>3494</c:v>
                </c:pt>
                <c:pt idx="114">
                  <c:v>3679</c:v>
                </c:pt>
                <c:pt idx="115">
                  <c:v>3984</c:v>
                </c:pt>
                <c:pt idx="116">
                  <c:v>3989</c:v>
                </c:pt>
                <c:pt idx="117">
                  <c:v>1864</c:v>
                </c:pt>
                <c:pt idx="118">
                  <c:v>1986</c:v>
                </c:pt>
                <c:pt idx="119">
                  <c:v>3449</c:v>
                </c:pt>
                <c:pt idx="120">
                  <c:v>3490</c:v>
                </c:pt>
                <c:pt idx="121">
                  <c:v>3257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2D-4642-B87C-9A6CFF8D7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20543"/>
        <c:axId val="128022463"/>
      </c:lineChart>
      <c:catAx>
        <c:axId val="12802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28022463"/>
        <c:crosses val="autoZero"/>
        <c:auto val="1"/>
        <c:lblAlgn val="ctr"/>
        <c:lblOffset val="100"/>
        <c:noMultiLvlLbl val="0"/>
      </c:catAx>
      <c:valAx>
        <c:axId val="1280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 de contenedores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2802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[Informacion.xlsx]Promedio semanal!TablaDinámica1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s-UY" baseline="0"/>
              <a:t>Promedio semanal de contenedores vaciados por día.</a:t>
            </a:r>
            <a:endParaRPr lang="es-UY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>
            <a:solidFill>
              <a:srgbClr val="00B05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'Promedio semanal'!$B$3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'Promedio semanal'!$A$4:$A$21</c:f>
              <c:strCache>
                <c:ptCount val="17"/>
                <c:pt idx="0">
                  <c:v>14/7/2025 - 20/7/2025</c:v>
                </c:pt>
                <c:pt idx="1">
                  <c:v>21/7/2025 - 27/7/2025</c:v>
                </c:pt>
                <c:pt idx="2">
                  <c:v>28/7/2025 - 3/8/2025</c:v>
                </c:pt>
                <c:pt idx="3">
                  <c:v>4/8/2025 - 10/8/2025</c:v>
                </c:pt>
                <c:pt idx="4">
                  <c:v>11/8/2025 - 17/8/2025</c:v>
                </c:pt>
                <c:pt idx="5">
                  <c:v>18/8/2025 - 24/8/2025</c:v>
                </c:pt>
                <c:pt idx="6">
                  <c:v>25/8/2025 - 31/8/2025</c:v>
                </c:pt>
                <c:pt idx="7">
                  <c:v>1/9/2025 - 7/9/2025</c:v>
                </c:pt>
                <c:pt idx="8">
                  <c:v>8/9/2025 - 14/9/2025</c:v>
                </c:pt>
                <c:pt idx="9">
                  <c:v>15/9/2025 - 21/9/2025</c:v>
                </c:pt>
                <c:pt idx="10">
                  <c:v>22/9/2025 - 28/9/2025</c:v>
                </c:pt>
                <c:pt idx="11">
                  <c:v>29/9/2025 - 5/10/2025</c:v>
                </c:pt>
                <c:pt idx="12">
                  <c:v>6/10/2025 - 12/10/2025</c:v>
                </c:pt>
                <c:pt idx="13">
                  <c:v>13/10/2025 - 19/10/2025</c:v>
                </c:pt>
                <c:pt idx="14">
                  <c:v>20/10/2025 - 26/10/2025</c:v>
                </c:pt>
                <c:pt idx="15">
                  <c:v>27/10/2025 - 2/11/2025</c:v>
                </c:pt>
                <c:pt idx="16">
                  <c:v>3/11/2025 - 9/11/2025</c:v>
                </c:pt>
              </c:strCache>
            </c:strRef>
          </c:cat>
          <c:val>
            <c:numRef>
              <c:f>'Promedio semanal'!$B$4:$B$21</c:f>
              <c:numCache>
                <c:formatCode>0</c:formatCode>
                <c:ptCount val="17"/>
                <c:pt idx="0">
                  <c:v>4051.4285714285716</c:v>
                </c:pt>
                <c:pt idx="1">
                  <c:v>4781.2857142857147</c:v>
                </c:pt>
                <c:pt idx="2">
                  <c:v>4342.1428571428569</c:v>
                </c:pt>
                <c:pt idx="3">
                  <c:v>4649.5714285714284</c:v>
                </c:pt>
                <c:pt idx="4">
                  <c:v>3965.1428571428573</c:v>
                </c:pt>
                <c:pt idx="5">
                  <c:v>4744.4285714285716</c:v>
                </c:pt>
                <c:pt idx="6">
                  <c:v>4723.5714285714284</c:v>
                </c:pt>
                <c:pt idx="7">
                  <c:v>4954.4285714285716</c:v>
                </c:pt>
                <c:pt idx="8">
                  <c:v>4472.5714285714284</c:v>
                </c:pt>
                <c:pt idx="9">
                  <c:v>4692.8571428571431</c:v>
                </c:pt>
                <c:pt idx="10">
                  <c:v>4623.2857142857147</c:v>
                </c:pt>
                <c:pt idx="11">
                  <c:v>3700.1428571428573</c:v>
                </c:pt>
                <c:pt idx="12">
                  <c:v>3995.5714285714284</c:v>
                </c:pt>
                <c:pt idx="13">
                  <c:v>2857.5714285714284</c:v>
                </c:pt>
                <c:pt idx="14">
                  <c:v>3104.7142857142858</c:v>
                </c:pt>
                <c:pt idx="15">
                  <c:v>2576.7142857142858</c:v>
                </c:pt>
                <c:pt idx="16">
                  <c:v>3507.8571428571427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C7E-41EE-93B5-20B73F98D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20543"/>
        <c:axId val="128022463"/>
      </c:lineChart>
      <c:catAx>
        <c:axId val="12802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28022463"/>
        <c:crosses val="autoZero"/>
        <c:auto val="1"/>
        <c:lblAlgn val="ctr"/>
        <c:lblOffset val="100"/>
        <c:noMultiLvlLbl val="0"/>
      </c:catAx>
      <c:valAx>
        <c:axId val="128022463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 de contenedores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280205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4</xdr:row>
      <xdr:rowOff>57149</xdr:rowOff>
    </xdr:from>
    <xdr:to>
      <xdr:col>15</xdr:col>
      <xdr:colOff>9525</xdr:colOff>
      <xdr:row>30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EB9B0B-35EA-984B-5A21-416EAD1A0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33336</xdr:colOff>
      <xdr:row>34</xdr:row>
      <xdr:rowOff>47625</xdr:rowOff>
    </xdr:from>
    <xdr:to>
      <xdr:col>14</xdr:col>
      <xdr:colOff>228599</xdr:colOff>
      <xdr:row>51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155E9E-3EB9-BD67-3923-9C1E29A1C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543481</xdr:colOff>
      <xdr:row>494</xdr:row>
      <xdr:rowOff>33617</xdr:rowOff>
    </xdr:from>
    <xdr:to>
      <xdr:col>38</xdr:col>
      <xdr:colOff>280144</xdr:colOff>
      <xdr:row>521</xdr:row>
      <xdr:rowOff>44822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0DCBD9-4EEB-22CF-0FBD-5B02CDC5F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1199029</xdr:colOff>
      <xdr:row>24</xdr:row>
      <xdr:rowOff>100854</xdr:rowOff>
    </xdr:from>
    <xdr:to>
      <xdr:col>5</xdr:col>
      <xdr:colOff>112059</xdr:colOff>
      <xdr:row>58</xdr:row>
      <xdr:rowOff>92611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96B4FF-598E-3A09-A716-818204D2F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iotti" refreshedDate="45972.502933101852" createdVersion="8" refreshedVersion="8" minRefreshableVersion="3" recordCount="343" xr:uid="{71D33F74-EB1E-4540-9CD2-5902CCF0C725}">
  <cacheSource type="worksheet">
    <worksheetSource ref="A1:I1048576" sheet="Disponibilidad"/>
  </cacheSource>
  <cacheFields count="11">
    <cacheField name="DIA NUM" numFmtId="14">
      <sharedItems containsNonDate="0" containsDate="1" containsString="0" containsBlank="1" minDate="2025-07-14T00:00:00" maxDate="2025-11-05T00:00:00" count="115"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m/>
      </sharedItems>
      <fieldGroup par="10"/>
    </cacheField>
    <cacheField name="DIA" numFmtId="0">
      <sharedItems containsBlank="1"/>
    </cacheField>
    <cacheField name="TURNOS" numFmtId="0">
      <sharedItems containsBlank="1"/>
    </cacheField>
    <cacheField name="CAMIONES DISPONIBLES" numFmtId="0">
      <sharedItems containsBlank="1" containsMixedTypes="1" containsNumber="1" containsInteger="1" minValue="13" maxValue="37"/>
    </cacheField>
    <cacheField name="CHOFERES" numFmtId="0">
      <sharedItems containsBlank="1" containsMixedTypes="1" containsNumber="1" containsInteger="1" minValue="7" maxValue="37"/>
    </cacheField>
    <cacheField name="AUXILIAR" numFmtId="0">
      <sharedItems containsBlank="1" containsMixedTypes="1" containsNumber="1" containsInteger="1" minValue="2" maxValue="36"/>
    </cacheField>
    <cacheField name="CAMIONES UTILIZADOS" numFmtId="0">
      <sharedItems containsBlank="1" containsMixedTypes="1" containsNumber="1" containsInteger="1" minValue="3" maxValue="31"/>
    </cacheField>
    <cacheField name="DENUNCIA" numFmtId="0">
      <sharedItems containsBlank="1" containsMixedTypes="1" containsNumber="1" containsInteger="1" minValue="1" maxValue="26"/>
    </cacheField>
    <cacheField name="TRIPULACION" numFmtId="0">
      <sharedItems containsBlank="1" containsMixedTypes="1" containsNumber="1" containsInteger="1" minValue="2" maxValue="32"/>
    </cacheField>
    <cacheField name="Días (DIA NUM)" numFmtId="0" databaseField="0">
      <fieldGroup base="0">
        <rangePr groupBy="days" startDate="2025-07-14T00:00:00" endDate="2025-11-05T00:00:00"/>
        <groupItems count="368">
          <s v="&lt;14/7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5/11/2025"/>
        </groupItems>
      </fieldGroup>
    </cacheField>
    <cacheField name="Meses (DIA NUM)" numFmtId="0" databaseField="0">
      <fieldGroup base="0">
        <rangePr groupBy="months" startDate="2025-07-14T00:00:00" endDate="2025-11-05T00:00:00"/>
        <groupItems count="14">
          <s v="&lt;14/7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5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iotti" refreshedDate="45974.618938310188" createdVersion="8" refreshedVersion="8" minRefreshableVersion="3" recordCount="1248" xr:uid="{1E4542CB-FA9B-4529-AD67-4D4451F26884}">
  <cacheSource type="worksheet">
    <worksheetSource ref="A1:I1048576" sheet="PlanificadosVaciados"/>
  </cacheSource>
  <cacheFields count="14">
    <cacheField name="FECHA" numFmtId="0">
      <sharedItems containsNonDate="0" containsDate="1" containsString="0" containsBlank="1" minDate="2025-07-14T00:00:00" maxDate="2025-11-13T00:00:00" count="123"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m/>
      </sharedItems>
      <fieldGroup par="13"/>
    </cacheField>
    <cacheField name="Dia" numFmtId="0">
      <sharedItems containsBlank="1" count="238">
        <s v="14/07/25 Lunes"/>
        <s v="15/07/25 Martes"/>
        <s v="16/07/25 Miércoles"/>
        <s v="17/07/25 Jueves"/>
        <s v="18/07/25 Viernes"/>
        <s v="19/07/25 Sábado"/>
        <s v="20/07/25 Domingo"/>
        <s v="21/07/25 Lunes"/>
        <s v="22/07/25 Martes"/>
        <s v="23/07/25 Miércoles"/>
        <s v="24/07/25 Jueves"/>
        <s v="25/07/25 Viernes"/>
        <s v="26/07/25 Sábado"/>
        <s v="27/07/25 Domingo"/>
        <s v="28/07/25 Lunes"/>
        <s v="29/07/25 Martes"/>
        <s v="30/07/25 Miércoles"/>
        <s v="31/07/25 Jueves"/>
        <s v="01/08/25 Viernes"/>
        <s v="02/08/25 Sábado"/>
        <s v="03/08/25 Domingo"/>
        <s v="04/08/25 Lunes"/>
        <s v="05/08/25 Martes"/>
        <s v="06/08/25 Miércoles"/>
        <s v="07/08/25 Jueves"/>
        <s v="08/08/25 Viernes"/>
        <s v="09/08/25 Sábado"/>
        <s v="10/08/25 Domingo"/>
        <s v="11/08/25 Lunes"/>
        <s v="12/08/25 Martes"/>
        <s v="13/08/25 Miércoles"/>
        <s v="14/08/25 Jueves"/>
        <s v="15/08/25 Viernes"/>
        <s v="16/08/25 Sábado"/>
        <s v="17/08/25 Domingo"/>
        <s v="18/08/25 Lunes"/>
        <s v="19/08/25 Martes"/>
        <s v="20/08/25 Miércoles"/>
        <s v="21/08/25 Jueves"/>
        <s v="22/08/25 Viernes"/>
        <s v="23/08/25 Sábado"/>
        <s v="24/08/25 Domingo"/>
        <s v="25/08/25 Lunes"/>
        <s v="26/08/25 Martes"/>
        <s v="27/08/25 Miércoles"/>
        <s v="28/08/25 Jueves"/>
        <s v="29/08/25 Viernes"/>
        <s v="30/08/25 Sábado"/>
        <s v="31/08/25 Domingo"/>
        <s v="01/09/25 Lunes"/>
        <s v="02/09/25 Martes"/>
        <s v="03/09/25 Miércoles"/>
        <s v="04/09/25 Jueves"/>
        <s v="05/09/25 Viernes"/>
        <s v="06/09/25 Sábado"/>
        <s v="07/09/25 Domingo"/>
        <s v="08/09/25 Lunes"/>
        <s v="09/09/25 Martes"/>
        <s v="10/09/25 Miércoles"/>
        <s v="11/09/25 Jueves"/>
        <s v="12/09/25 Viernes"/>
        <s v="13/09/25 Sábado"/>
        <s v="14/09/25 Domingo"/>
        <s v="15/09/25 Lunes"/>
        <s v="16/09/25 Martes"/>
        <s v="17/09/25 Miércoles"/>
        <s v="18/09/25 Jueves"/>
        <s v="19/09/25 Viernes"/>
        <s v="20/09/25 Sábado"/>
        <s v="21/09/25 Domingo"/>
        <s v="22/09/25 Lunes"/>
        <s v="23/09/25 Martes"/>
        <s v="24/09/25 Miércoles"/>
        <s v="25/09/25 Jueves"/>
        <s v="26/09/25 Viernes"/>
        <s v="27/09/25 Sábado"/>
        <s v="28/09/25 Domingo"/>
        <s v="29/09/25 Lunes"/>
        <s v="30/09/25 Martes"/>
        <s v="01/10/25 Miércoles"/>
        <s v="02/10/25 Jueves"/>
        <s v="03/10/25 Viernes"/>
        <s v="04/10/25 Sábado"/>
        <s v="05/10/25 Domingo"/>
        <s v="06/10/25 Lunes"/>
        <s v="07/10/25 Martes"/>
        <s v="08/10/25 Miércoles"/>
        <s v="09/10/25 Jueves"/>
        <s v="10/10/25 Viernes"/>
        <s v="11/10/25 Sábado"/>
        <s v="12/10/25 Domingo"/>
        <s v="13/10/25 Lunes"/>
        <s v="14/10/25 Martes"/>
        <s v="15/10/25 Miércoles"/>
        <s v="16/10/25 Jueves"/>
        <s v="17/10/25 Viernes"/>
        <s v="18/10/25 Sábado"/>
        <s v="19/10/25 Domingo"/>
        <s v="20/10/25 Lunes"/>
        <s v="21/10/25 Martes"/>
        <s v="22/10/25 Miércoles"/>
        <s v="23/10/25 Jueves"/>
        <s v="24/10/25 Viernes"/>
        <s v="25/10/25 Sábado"/>
        <s v="26/10/25 Domingo"/>
        <s v="27/10/25 Lunes"/>
        <s v="28/10/25 Martes"/>
        <s v="29/10/25 Miércoles"/>
        <s v="30/10/25 Jueves"/>
        <s v="31/10/25 Viernes"/>
        <s v="01/11/25 Sábado"/>
        <s v="02/11/25 Domingo"/>
        <s v="03/11/25 Lunes"/>
        <s v="04/11/25 Martes"/>
        <s v="05/11/25 Miércoles"/>
        <s v="06/11/25 Jueves"/>
        <s v="07/11/25 Viernes"/>
        <s v="08/11/25 Sábado"/>
        <s v="09/11/25 Domingo"/>
        <s v="10/11/25 Lunes"/>
        <s v="11/11/25 Martes"/>
        <s v="12/11/25 Miércoles"/>
        <m/>
        <s v="Lunes 14/07/25" u="1"/>
        <s v="Martes 15/07/25" u="1"/>
        <s v="Miércoles 16/07/25" u="1"/>
        <s v="Jueves 17/07/25" u="1"/>
        <s v="Viernes 18/07/25" u="1"/>
        <s v="Sábado 19/07/25" u="1"/>
        <s v="Domingo 20/07/25" u="1"/>
        <s v="Lunes 21/07/25" u="1"/>
        <s v="Martes 22/07/25" u="1"/>
        <s v="Miércoles 23/07/25" u="1"/>
        <s v="Jueves 24/07/25" u="1"/>
        <s v="Viernes 25/07/25" u="1"/>
        <s v="Sábado 26/07/25" u="1"/>
        <s v="Domingo 27/07/25" u="1"/>
        <s v="Lunes 28/07/25" u="1"/>
        <s v="Martes 29/07/25" u="1"/>
        <s v="Miércoles 30/07/25" u="1"/>
        <s v="Jueves 31/07/25" u="1"/>
        <s v="Viernes 01/08/25" u="1"/>
        <s v="Sábado 02/08/25" u="1"/>
        <s v="Domingo 03/08/25" u="1"/>
        <s v="Lunes 04/08/25" u="1"/>
        <s v="Martes 05/08/25" u="1"/>
        <s v="Miércoles 06/08/25" u="1"/>
        <s v="Jueves 07/08/25" u="1"/>
        <s v="Viernes 08/08/25" u="1"/>
        <s v="Sábado 09/08/25" u="1"/>
        <s v="Domingo 10/08/25" u="1"/>
        <s v="Lunes 11/08/25" u="1"/>
        <s v="Martes 12/08/25" u="1"/>
        <s v="Miércoles 13/08/25" u="1"/>
        <s v="Jueves 14/08/25" u="1"/>
        <s v="Viernes 15/08/25" u="1"/>
        <s v="Sábado 16/08/25" u="1"/>
        <s v="Domingo 17/08/25" u="1"/>
        <s v="Lunes 18/08/25" u="1"/>
        <s v="Martes 19/08/25" u="1"/>
        <s v="Miércoles 20/08/25" u="1"/>
        <s v="Jueves 21/08/25" u="1"/>
        <s v="Viernes 22/08/25" u="1"/>
        <s v="Sábado 23/08/25" u="1"/>
        <s v="Domingo 24/08/25" u="1"/>
        <s v="Lunes 25/08/25" u="1"/>
        <s v="Martes 26/08/25" u="1"/>
        <s v="Miércoles 27/08/25" u="1"/>
        <s v="Jueves 28/08/25" u="1"/>
        <s v="Viernes 29/08/25" u="1"/>
        <s v="Sábado 30/08/25" u="1"/>
        <s v="Domingo 31/08/25" u="1"/>
        <s v="Lunes 01/09/25" u="1"/>
        <s v="Martes 02/09/25" u="1"/>
        <s v="Miércoles 03/09/25" u="1"/>
        <s v="Jueves 04/09/25" u="1"/>
        <s v="Viernes 05/09/25" u="1"/>
        <s v="Sábado 06/09/25" u="1"/>
        <s v="Domingo 07/09/25" u="1"/>
        <s v="Lunes 08/09/25" u="1"/>
        <s v="Martes 09/09/25" u="1"/>
        <s v="Miércoles 10/09/25" u="1"/>
        <s v="Jueves 11/09/25" u="1"/>
        <s v="Viernes 12/09/25" u="1"/>
        <s v="Sábado 13/09/25" u="1"/>
        <s v="Domingo 14/09/25" u="1"/>
        <s v="Lunes 15/09/25" u="1"/>
        <s v="Martes 16/09/25" u="1"/>
        <s v="Miércoles 17/09/25" u="1"/>
        <s v="Jueves 18/09/25" u="1"/>
        <s v="Viernes 19/09/25" u="1"/>
        <s v="Sábado 20/09/25" u="1"/>
        <s v="Domingo 21/09/25" u="1"/>
        <s v="Lunes 22/09/25" u="1"/>
        <s v="Martes 23/09/25" u="1"/>
        <s v="Miércoles 24/09/25" u="1"/>
        <s v="Jueves 25/09/25" u="1"/>
        <s v="Viernes 26/09/25" u="1"/>
        <s v="Sábado 27/09/25" u="1"/>
        <s v="Domingo 28/09/25" u="1"/>
        <s v="Lunes 29/09/25" u="1"/>
        <s v="Martes 30/09/25" u="1"/>
        <s v="Miércoles 01/10/25" u="1"/>
        <s v="Jueves 02/10/25" u="1"/>
        <s v="Viernes 03/10/25" u="1"/>
        <s v="Sábado 04/10/25" u="1"/>
        <s v="Domingo 05/10/25" u="1"/>
        <s v="Lunes 06/10/25" u="1"/>
        <s v="Martes 07/10/25" u="1"/>
        <s v="Miércoles 08/10/25" u="1"/>
        <s v="Jueves 09/10/25" u="1"/>
        <s v="Viernes 10/10/25" u="1"/>
        <s v="Sábado 11/10/25" u="1"/>
        <s v="Domingo 12/10/25" u="1"/>
        <s v="Lunes 13/10/25" u="1"/>
        <s v="Martes 14/10/25" u="1"/>
        <s v="Miércoles 15/10/25" u="1"/>
        <s v="Jueves 16/10/25" u="1"/>
        <s v="Viernes 17/10/25" u="1"/>
        <s v="Sábado 18/10/25" u="1"/>
        <s v="Domingo 19/10/25" u="1"/>
        <s v="Lunes 20/10/25" u="1"/>
        <s v="Martes 21/10/25" u="1"/>
        <s v="Miércoles 22/10/25" u="1"/>
        <s v="Jueves 23/10/25" u="1"/>
        <s v="Viernes 24/10/25" u="1"/>
        <s v="Sábado 25/10/25" u="1"/>
        <s v="Domingo 26/10/25" u="1"/>
        <s v="Lunes 27/10/25" u="1"/>
        <s v="Martes 28/10/25" u="1"/>
        <s v="Miércoles 29/10/25" u="1"/>
        <s v="Jueves 30/10/25" u="1"/>
        <s v="Viernes 31/10/25" u="1"/>
        <s v="Sábado 01/11/25" u="1"/>
        <s v="Domingo 02/11/25" u="1"/>
        <s v="Lunes 03/11/25" u="1"/>
        <s v="Martes 04/11/25" u="1"/>
        <s v="Miércoles 05/11/25" u="1"/>
      </sharedItems>
    </cacheField>
    <cacheField name="MUNICIPIO" numFmtId="0">
      <sharedItems containsBlank="1"/>
    </cacheField>
    <cacheField name="PLANIFICADOS" numFmtId="0">
      <sharedItems containsString="0" containsBlank="1" containsNumber="1" containsInteger="1" minValue="0" maxValue="1783"/>
    </cacheField>
    <cacheField name="PROGRAMADOS" numFmtId="0">
      <sharedItems containsString="0" containsBlank="1" containsNumber="1" containsInteger="1" minValue="0" maxValue="2270"/>
    </cacheField>
    <cacheField name="VISITADOS" numFmtId="0">
      <sharedItems containsString="0" containsBlank="1" containsNumber="1" containsInteger="1" minValue="0" maxValue="1402"/>
    </cacheField>
    <cacheField name="NO VISITADOS" numFmtId="0">
      <sharedItems containsString="0" containsBlank="1" containsNumber="1" containsInteger="1" minValue="0" maxValue="1363"/>
    </cacheField>
    <cacheField name="VACIADOS" numFmtId="0">
      <sharedItems containsString="0" containsBlank="1" containsNumber="1" containsInteger="1" minValue="0" maxValue="1386"/>
    </cacheField>
    <cacheField name="NO VACIADOS" numFmtId="0">
      <sharedItems containsString="0" containsBlank="1" containsNumber="1" containsInteger="1" minValue="0" maxValue="479"/>
    </cacheField>
    <cacheField name="Promedio planificados semanal" numFmtId="0" formula="PLANIFICADOS/7" databaseField="0"/>
    <cacheField name="Promedio Programado semanal" numFmtId="0" formula="PROGRAMADOS/7" databaseField="0"/>
    <cacheField name="Promedio Visitados semanal" numFmtId="0" formula="VISITADOS/7" databaseField="0"/>
    <cacheField name="Promedio planificados Vaciados" numFmtId="0" formula="VACIADOS/7" databaseField="0"/>
    <cacheField name="Días (FECHA)" numFmtId="0" databaseField="0">
      <fieldGroup base="0">
        <rangePr groupBy="days" startDate="2025-07-14T00:00:00" endDate="2025-11-13T00:00:00" groupInterval="7"/>
        <groupItems count="20">
          <s v="&lt;14/7/2025"/>
          <s v="14/7/2025 - 20/7/2025"/>
          <s v="21/7/2025 - 27/7/2025"/>
          <s v="28/7/2025 - 3/8/2025"/>
          <s v="4/8/2025 - 10/8/2025"/>
          <s v="11/8/2025 - 17/8/2025"/>
          <s v="18/8/2025 - 24/8/2025"/>
          <s v="25/8/2025 - 31/8/2025"/>
          <s v="1/9/2025 - 7/9/2025"/>
          <s v="8/9/2025 - 14/9/2025"/>
          <s v="15/9/2025 - 21/9/2025"/>
          <s v="22/9/2025 - 28/9/2025"/>
          <s v="29/9/2025 - 5/10/2025"/>
          <s v="6/10/2025 - 12/10/2025"/>
          <s v="13/10/2025 - 19/10/2025"/>
          <s v="20/10/2025 - 26/10/2025"/>
          <s v="27/10/2025 - 2/11/2025"/>
          <s v="3/11/2025 - 9/11/2025"/>
          <s v="10/11/2025 - 13/11/2025"/>
          <s v="&gt;13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s v="lunes"/>
    <s v="M"/>
    <n v="29"/>
    <n v="31"/>
    <n v="28"/>
    <n v="25"/>
    <n v="13"/>
    <n v="28"/>
  </r>
  <r>
    <x v="0"/>
    <s v="lunes"/>
    <s v="V"/>
    <n v="30"/>
    <n v="17"/>
    <n v="15"/>
    <n v="15"/>
    <n v="5"/>
    <n v="15"/>
  </r>
  <r>
    <x v="0"/>
    <s v="lunes"/>
    <s v="N"/>
    <n v="35"/>
    <n v="30"/>
    <n v="29"/>
    <n v="26"/>
    <n v="17"/>
    <n v="29"/>
  </r>
  <r>
    <x v="1"/>
    <s v="martes"/>
    <s v="M"/>
    <n v="35"/>
    <n v="30"/>
    <n v="27"/>
    <n v="24"/>
    <n v="15"/>
    <n v="27"/>
  </r>
  <r>
    <x v="1"/>
    <s v="martes"/>
    <s v="V"/>
    <n v="26"/>
    <n v="18"/>
    <n v="17"/>
    <n v="19"/>
    <n v="10"/>
    <n v="17"/>
  </r>
  <r>
    <x v="1"/>
    <s v="martes"/>
    <s v="N"/>
    <n v="32"/>
    <n v="31"/>
    <n v="33"/>
    <n v="25"/>
    <n v="11"/>
    <n v="31"/>
  </r>
  <r>
    <x v="2"/>
    <s v="miércoles"/>
    <s v="M"/>
    <n v="32"/>
    <n v="31"/>
    <n v="28"/>
    <n v="25"/>
    <n v="13"/>
    <n v="28"/>
  </r>
  <r>
    <x v="2"/>
    <s v="miércoles"/>
    <s v="V"/>
    <n v="30"/>
    <n v="18"/>
    <n v="17"/>
    <n v="16"/>
    <n v="5"/>
    <n v="17"/>
  </r>
  <r>
    <x v="2"/>
    <s v="miércoles"/>
    <s v="N"/>
    <n v="26"/>
    <n v="31"/>
    <n v="31"/>
    <n v="25"/>
    <n v="16"/>
    <n v="31"/>
  </r>
  <r>
    <x v="3"/>
    <s v="jueves"/>
    <s v="M"/>
    <n v="29"/>
    <n v="31"/>
    <n v="28"/>
    <n v="25"/>
    <n v="11"/>
    <n v="28"/>
  </r>
  <r>
    <x v="3"/>
    <s v="jueves"/>
    <s v="V"/>
    <n v="30"/>
    <n v="18"/>
    <n v="15"/>
    <n v="14"/>
    <n v="9"/>
    <n v="15"/>
  </r>
  <r>
    <x v="3"/>
    <s v="jueves"/>
    <s v="N"/>
    <n v="31"/>
    <n v="18"/>
    <n v="17"/>
    <n v="20"/>
    <n v="11"/>
    <n v="17"/>
  </r>
  <r>
    <x v="4"/>
    <s v="viernes"/>
    <s v="M"/>
    <n v="30"/>
    <n v="11"/>
    <n v="14"/>
    <n v="10"/>
    <n v="3"/>
    <n v="11"/>
  </r>
  <r>
    <x v="4"/>
    <s v="viernes"/>
    <s v="V"/>
    <s v=""/>
    <s v=""/>
    <s v=""/>
    <s v=""/>
    <s v=""/>
    <s v=""/>
  </r>
  <r>
    <x v="4"/>
    <s v="viernes"/>
    <s v="N"/>
    <n v="31"/>
    <n v="27"/>
    <n v="31"/>
    <n v="26"/>
    <n v="12"/>
    <n v="27"/>
  </r>
  <r>
    <x v="5"/>
    <s v="sábado"/>
    <s v="M"/>
    <n v="31"/>
    <n v="27"/>
    <n v="24"/>
    <n v="22"/>
    <n v="22"/>
    <n v="24"/>
  </r>
  <r>
    <x v="5"/>
    <s v="sábado"/>
    <s v="V"/>
    <n v="25"/>
    <n v="12"/>
    <n v="11"/>
    <n v="10"/>
    <n v="9"/>
    <n v="11"/>
  </r>
  <r>
    <x v="5"/>
    <s v="sábado"/>
    <s v="N"/>
    <s v=""/>
    <s v=""/>
    <s v=""/>
    <s v=""/>
    <s v=""/>
    <s v=""/>
  </r>
  <r>
    <x v="6"/>
    <s v="domingo"/>
    <s v="M"/>
    <n v="33"/>
    <n v="24"/>
    <n v="21"/>
    <n v="21"/>
    <n v="15"/>
    <n v="21"/>
  </r>
  <r>
    <x v="6"/>
    <s v="domingo"/>
    <s v="V"/>
    <s v=""/>
    <s v=""/>
    <s v=""/>
    <s v=""/>
    <s v=""/>
    <s v=""/>
  </r>
  <r>
    <x v="6"/>
    <s v="domingo"/>
    <s v="N"/>
    <n v="28"/>
    <n v="30"/>
    <n v="35"/>
    <n v="27"/>
    <n v="18"/>
    <n v="30"/>
  </r>
  <r>
    <x v="7"/>
    <s v="lunes"/>
    <s v="M"/>
    <n v="21"/>
    <n v="30"/>
    <n v="29"/>
    <n v="22"/>
    <n v="15"/>
    <n v="29"/>
  </r>
  <r>
    <x v="7"/>
    <s v="lunes"/>
    <s v="V"/>
    <n v="26"/>
    <n v="18"/>
    <n v="16"/>
    <n v="15"/>
    <n v="10"/>
    <n v="16"/>
  </r>
  <r>
    <x v="7"/>
    <s v="lunes"/>
    <s v="N"/>
    <n v="31"/>
    <n v="32"/>
    <n v="34"/>
    <n v="26"/>
    <n v="25"/>
    <n v="32"/>
  </r>
  <r>
    <x v="8"/>
    <s v="martes"/>
    <s v="M"/>
    <n v="33"/>
    <n v="29"/>
    <n v="27"/>
    <n v="25"/>
    <n v="12"/>
    <n v="27"/>
  </r>
  <r>
    <x v="8"/>
    <s v="martes"/>
    <s v="V"/>
    <n v="20"/>
    <n v="17"/>
    <n v="16"/>
    <n v="17"/>
    <n v="14"/>
    <n v="16"/>
  </r>
  <r>
    <x v="8"/>
    <s v="martes"/>
    <s v="N"/>
    <n v="27"/>
    <n v="32"/>
    <n v="33"/>
    <n v="28"/>
    <n v="17"/>
    <n v="32"/>
  </r>
  <r>
    <x v="9"/>
    <s v="miércoles"/>
    <s v="M"/>
    <n v="29"/>
    <n v="29"/>
    <n v="27"/>
    <n v="22"/>
    <n v="13"/>
    <n v="27"/>
  </r>
  <r>
    <x v="9"/>
    <s v="miércoles"/>
    <s v="V"/>
    <n v="26"/>
    <n v="19"/>
    <n v="17"/>
    <n v="17"/>
    <n v="14"/>
    <n v="17"/>
  </r>
  <r>
    <x v="9"/>
    <s v="miércoles"/>
    <s v="N"/>
    <n v="25"/>
    <n v="31"/>
    <n v="31"/>
    <n v="25"/>
    <n v="13"/>
    <n v="31"/>
  </r>
  <r>
    <x v="10"/>
    <s v="jueves"/>
    <s v="M"/>
    <n v="33"/>
    <n v="31"/>
    <n v="28"/>
    <n v="25"/>
    <n v="13"/>
    <n v="28"/>
  </r>
  <r>
    <x v="10"/>
    <s v="jueves"/>
    <s v="V"/>
    <n v="28"/>
    <n v="16"/>
    <n v="11"/>
    <n v="11"/>
    <n v="5"/>
    <n v="11"/>
  </r>
  <r>
    <x v="10"/>
    <s v="jueves"/>
    <s v="N"/>
    <n v="33"/>
    <n v="31"/>
    <n v="32"/>
    <n v="26"/>
    <n v="18"/>
    <n v="31"/>
  </r>
  <r>
    <x v="11"/>
    <s v="viernes"/>
    <s v="M"/>
    <n v="30"/>
    <n v="31"/>
    <n v="29"/>
    <n v="26"/>
    <n v="15"/>
    <n v="29"/>
  </r>
  <r>
    <x v="11"/>
    <s v="viernes"/>
    <s v="V"/>
    <n v="24"/>
    <n v="13"/>
    <n v="12"/>
    <n v="12"/>
    <n v="10"/>
    <n v="12"/>
  </r>
  <r>
    <x v="11"/>
    <s v="viernes"/>
    <s v="N"/>
    <n v="30"/>
    <n v="32"/>
    <n v="35"/>
    <n v="28"/>
    <n v="18"/>
    <n v="32"/>
  </r>
  <r>
    <x v="12"/>
    <s v="sábado"/>
    <s v="M"/>
    <n v="33"/>
    <n v="29"/>
    <n v="26"/>
    <n v="24"/>
    <n v="24"/>
    <n v="26"/>
  </r>
  <r>
    <x v="12"/>
    <s v="sábado"/>
    <s v="V"/>
    <n v="26"/>
    <n v="9"/>
    <n v="9"/>
    <n v="9"/>
    <n v="3"/>
    <n v="9"/>
  </r>
  <r>
    <x v="12"/>
    <s v="sábado"/>
    <s v="N"/>
    <s v=""/>
    <s v=""/>
    <s v=""/>
    <s v=""/>
    <s v=""/>
    <s v=""/>
  </r>
  <r>
    <x v="13"/>
    <s v="domingo"/>
    <s v="M"/>
    <n v="33"/>
    <n v="19"/>
    <n v="17"/>
    <n v="16"/>
    <n v="6"/>
    <n v="17"/>
  </r>
  <r>
    <x v="13"/>
    <s v="domingo"/>
    <s v="V"/>
    <s v=""/>
    <s v=""/>
    <s v=""/>
    <s v=""/>
    <s v=""/>
    <s v=""/>
  </r>
  <r>
    <x v="13"/>
    <s v="domingo"/>
    <s v="N"/>
    <n v="26"/>
    <n v="29"/>
    <n v="36"/>
    <n v="24"/>
    <n v="19"/>
    <n v="29"/>
  </r>
  <r>
    <x v="14"/>
    <s v="lunes"/>
    <s v="M"/>
    <n v="33"/>
    <n v="19"/>
    <n v="17"/>
    <n v="16"/>
    <n v="6"/>
    <n v="17"/>
  </r>
  <r>
    <x v="14"/>
    <s v="lunes"/>
    <s v="V"/>
    <s v=""/>
    <s v=""/>
    <s v=""/>
    <s v=""/>
    <s v=""/>
    <s v=""/>
  </r>
  <r>
    <x v="14"/>
    <s v="lunes"/>
    <s v="N"/>
    <n v="26"/>
    <n v="29"/>
    <n v="36"/>
    <n v="24"/>
    <n v="19"/>
    <n v="29"/>
  </r>
  <r>
    <x v="15"/>
    <s v="martes"/>
    <s v="M"/>
    <n v="33"/>
    <n v="28"/>
    <n v="25"/>
    <n v="24"/>
    <n v="26"/>
    <n v="25"/>
  </r>
  <r>
    <x v="15"/>
    <s v="martes"/>
    <s v="V"/>
    <n v="30"/>
    <n v="17"/>
    <n v="14"/>
    <n v="13"/>
    <n v="9"/>
    <n v="14"/>
  </r>
  <r>
    <x v="15"/>
    <s v="martes"/>
    <s v="N"/>
    <n v="29"/>
    <n v="30"/>
    <n v="29"/>
    <n v="25"/>
    <n v="9"/>
    <n v="29"/>
  </r>
  <r>
    <x v="16"/>
    <s v="miércoles"/>
    <s v="M"/>
    <n v="33"/>
    <n v="24"/>
    <n v="21"/>
    <n v="21"/>
    <n v="15"/>
    <n v="21"/>
  </r>
  <r>
    <x v="16"/>
    <s v="miércoles"/>
    <s v="V"/>
    <n v="24"/>
    <n v="15"/>
    <n v="15"/>
    <n v="15"/>
    <n v="14"/>
    <n v="15"/>
  </r>
  <r>
    <x v="16"/>
    <s v="miércoles"/>
    <s v="N"/>
    <n v="32"/>
    <n v="31"/>
    <n v="30"/>
    <n v="26"/>
    <n v="11"/>
    <n v="30"/>
  </r>
  <r>
    <x v="17"/>
    <s v="jueves"/>
    <s v="M"/>
    <n v="33"/>
    <n v="24"/>
    <n v="21"/>
    <n v="21"/>
    <n v="15"/>
    <n v="21"/>
  </r>
  <r>
    <x v="17"/>
    <s v="jueves"/>
    <s v="V"/>
    <n v="24"/>
    <n v="15"/>
    <n v="15"/>
    <n v="15"/>
    <n v="14"/>
    <n v="15"/>
  </r>
  <r>
    <x v="17"/>
    <s v="jueves"/>
    <s v="N"/>
    <n v="32"/>
    <n v="31"/>
    <n v="30"/>
    <n v="26"/>
    <n v="11"/>
    <n v="30"/>
  </r>
  <r>
    <x v="18"/>
    <s v="viernes"/>
    <s v="M"/>
    <n v="33"/>
    <n v="27"/>
    <n v="25"/>
    <n v="22"/>
    <n v="18"/>
    <n v="25"/>
  </r>
  <r>
    <x v="18"/>
    <s v="viernes"/>
    <s v="V"/>
    <n v="30"/>
    <n v="15"/>
    <n v="15"/>
    <n v="15"/>
    <n v="14"/>
    <n v="15"/>
  </r>
  <r>
    <x v="18"/>
    <s v="viernes"/>
    <s v="N"/>
    <n v="34"/>
    <n v="30"/>
    <n v="26"/>
    <n v="25"/>
    <n v="15"/>
    <n v="26"/>
  </r>
  <r>
    <x v="19"/>
    <s v="sábado"/>
    <s v="M"/>
    <n v="33"/>
    <n v="25"/>
    <n v="22"/>
    <n v="20"/>
    <n v="11"/>
    <n v="22"/>
  </r>
  <r>
    <x v="19"/>
    <s v="sábado"/>
    <s v="V"/>
    <n v="29"/>
    <n v="14"/>
    <n v="14"/>
    <n v="14"/>
    <n v="5"/>
    <n v="14"/>
  </r>
  <r>
    <x v="19"/>
    <s v="sábado"/>
    <s v="N"/>
    <s v=""/>
    <s v=""/>
    <s v=""/>
    <s v=""/>
    <s v=""/>
    <s v=""/>
  </r>
  <r>
    <x v="20"/>
    <s v="domingo"/>
    <s v="M"/>
    <n v="33"/>
    <n v="20"/>
    <n v="18"/>
    <n v="16"/>
    <n v="9"/>
    <n v="18"/>
  </r>
  <r>
    <x v="20"/>
    <s v="domingo"/>
    <s v="V"/>
    <s v=""/>
    <s v=""/>
    <s v=""/>
    <s v=""/>
    <s v=""/>
    <s v=""/>
  </r>
  <r>
    <x v="20"/>
    <s v="domingo"/>
    <s v="N"/>
    <n v="31"/>
    <n v="26"/>
    <n v="25"/>
    <n v="23"/>
    <n v="13"/>
    <n v="25"/>
  </r>
  <r>
    <x v="21"/>
    <s v="lunes"/>
    <s v="M"/>
    <n v="29"/>
    <n v="30"/>
    <n v="29"/>
    <n v="25"/>
    <n v="16"/>
    <n v="29"/>
  </r>
  <r>
    <x v="21"/>
    <s v="lunes"/>
    <s v="V"/>
    <n v="25"/>
    <n v="17"/>
    <n v="16"/>
    <n v="15"/>
    <n v="6"/>
    <n v="16"/>
  </r>
  <r>
    <x v="21"/>
    <s v="lunes"/>
    <s v="N"/>
    <n v="28"/>
    <n v="28"/>
    <n v="27"/>
    <n v="25"/>
    <n v="9"/>
    <n v="27"/>
  </r>
  <r>
    <x v="22"/>
    <s v="martes"/>
    <s v="M"/>
    <n v="33"/>
    <n v="29"/>
    <n v="26"/>
    <n v="23"/>
    <n v="20"/>
    <n v="26"/>
  </r>
  <r>
    <x v="22"/>
    <s v="martes"/>
    <s v="V"/>
    <n v="23"/>
    <n v="17"/>
    <n v="15"/>
    <n v="13"/>
    <n v="8"/>
    <n v="15"/>
  </r>
  <r>
    <x v="22"/>
    <s v="martes"/>
    <s v="N"/>
    <n v="29"/>
    <n v="27"/>
    <n v="27"/>
    <n v="24"/>
    <n v="7"/>
    <n v="27"/>
  </r>
  <r>
    <x v="23"/>
    <s v="miércoles"/>
    <s v="M"/>
    <n v="34"/>
    <n v="29"/>
    <n v="26"/>
    <n v="25"/>
    <n v="21"/>
    <n v="26"/>
  </r>
  <r>
    <x v="23"/>
    <s v="miércoles"/>
    <s v="V"/>
    <n v="25"/>
    <n v="15"/>
    <n v="16"/>
    <n v="13"/>
    <n v="9"/>
    <n v="15"/>
  </r>
  <r>
    <x v="23"/>
    <s v="miércoles"/>
    <s v="N"/>
    <n v="30"/>
    <n v="26"/>
    <n v="30"/>
    <n v="28"/>
    <n v="10"/>
    <n v="26"/>
  </r>
  <r>
    <x v="24"/>
    <s v="jueves"/>
    <s v="M"/>
    <n v="33"/>
    <n v="24"/>
    <n v="21"/>
    <n v="21"/>
    <n v="18"/>
    <n v="21"/>
  </r>
  <r>
    <x v="24"/>
    <s v="jueves"/>
    <s v="V"/>
    <n v="30"/>
    <n v="16"/>
    <n v="16"/>
    <n v="15"/>
    <n v="8"/>
    <n v="16"/>
  </r>
  <r>
    <x v="24"/>
    <s v="jueves"/>
    <s v="N"/>
    <n v="30"/>
    <n v="29"/>
    <n v="33"/>
    <n v="28"/>
    <n v="14"/>
    <n v="29"/>
  </r>
  <r>
    <x v="25"/>
    <s v="viernes"/>
    <s v="M"/>
    <n v="34"/>
    <n v="27"/>
    <n v="26"/>
    <n v="22"/>
    <n v="11"/>
    <n v="26"/>
  </r>
  <r>
    <x v="25"/>
    <s v="viernes"/>
    <s v="V"/>
    <n v="31"/>
    <n v="14"/>
    <n v="15"/>
    <n v="14"/>
    <n v="3"/>
    <n v="14"/>
  </r>
  <r>
    <x v="25"/>
    <s v="viernes"/>
    <s v="N"/>
    <n v="37"/>
    <n v="29"/>
    <n v="33"/>
    <n v="24"/>
    <n v="13"/>
    <n v="29"/>
  </r>
  <r>
    <x v="26"/>
    <s v="sábado"/>
    <s v="M"/>
    <n v="33"/>
    <n v="25"/>
    <n v="23"/>
    <n v="22"/>
    <n v="12"/>
    <n v="23"/>
  </r>
  <r>
    <x v="26"/>
    <s v="sábado"/>
    <s v="V"/>
    <n v="29"/>
    <n v="11"/>
    <n v="11"/>
    <n v="12"/>
    <n v="3"/>
    <n v="11"/>
  </r>
  <r>
    <x v="26"/>
    <s v="sábado"/>
    <s v="N"/>
    <s v=""/>
    <s v=""/>
    <s v=""/>
    <s v=""/>
    <s v=""/>
    <s v=""/>
  </r>
  <r>
    <x v="27"/>
    <s v="domingo"/>
    <s v="M"/>
    <n v="31"/>
    <n v="18"/>
    <n v="16"/>
    <n v="15"/>
    <n v="12"/>
    <n v="16"/>
  </r>
  <r>
    <x v="27"/>
    <s v="domingo"/>
    <s v="V"/>
    <s v=""/>
    <s v=""/>
    <s v=""/>
    <s v=""/>
    <s v=""/>
    <s v=""/>
  </r>
  <r>
    <x v="27"/>
    <s v="domingo"/>
    <s v="N"/>
    <n v="37"/>
    <n v="27"/>
    <n v="31"/>
    <n v="24"/>
    <n v="18"/>
    <n v="27"/>
  </r>
  <r>
    <x v="28"/>
    <s v="lunes"/>
    <s v="M"/>
    <n v="33"/>
    <n v="26"/>
    <n v="24"/>
    <n v="22"/>
    <n v="17"/>
    <n v="24"/>
  </r>
  <r>
    <x v="28"/>
    <s v="lunes"/>
    <s v="V"/>
    <n v="26"/>
    <n v="17"/>
    <n v="15"/>
    <n v="15"/>
    <n v="5"/>
    <n v="15"/>
  </r>
  <r>
    <x v="28"/>
    <s v="lunes"/>
    <s v="N"/>
    <s v=""/>
    <s v=""/>
    <s v=""/>
    <s v=""/>
    <s v=""/>
    <s v=""/>
  </r>
  <r>
    <x v="29"/>
    <s v="martes"/>
    <s v="M"/>
    <s v=""/>
    <s v=""/>
    <s v=""/>
    <s v=""/>
    <s v=""/>
    <s v=""/>
  </r>
  <r>
    <x v="29"/>
    <s v="martes"/>
    <s v="V"/>
    <s v=""/>
    <s v=""/>
    <s v=""/>
    <s v=""/>
    <s v=""/>
    <s v=""/>
  </r>
  <r>
    <x v="29"/>
    <s v="martes"/>
    <s v="N"/>
    <n v="31"/>
    <n v="30"/>
    <n v="30"/>
    <n v="24"/>
    <n v="23"/>
    <n v="30"/>
  </r>
  <r>
    <x v="30"/>
    <s v="miércoles"/>
    <s v="M"/>
    <n v="33"/>
    <n v="26"/>
    <n v="24"/>
    <n v="24"/>
    <n v="18"/>
    <n v="24"/>
  </r>
  <r>
    <x v="30"/>
    <s v="miércoles"/>
    <s v="V"/>
    <n v="24"/>
    <n v="16"/>
    <n v="16"/>
    <n v="16"/>
    <n v="8"/>
    <n v="16"/>
  </r>
  <r>
    <x v="30"/>
    <s v="miércoles"/>
    <s v="N"/>
    <n v="32"/>
    <n v="32"/>
    <n v="33"/>
    <n v="28"/>
    <n v="15"/>
    <n v="32"/>
  </r>
  <r>
    <x v="31"/>
    <s v="jueves"/>
    <s v="M"/>
    <n v="33"/>
    <n v="27"/>
    <n v="24"/>
    <n v="23"/>
    <n v="17"/>
    <n v="24"/>
  </r>
  <r>
    <x v="31"/>
    <s v="jueves"/>
    <s v="V"/>
    <n v="30"/>
    <n v="16"/>
    <n v="15"/>
    <n v="15"/>
    <n v="12"/>
    <n v="15"/>
  </r>
  <r>
    <x v="31"/>
    <s v="jueves"/>
    <s v="N"/>
    <n v="32"/>
    <n v="29"/>
    <n v="36"/>
    <n v="25"/>
    <n v="22"/>
    <n v="29"/>
  </r>
  <r>
    <x v="32"/>
    <s v="viernes"/>
    <s v="M"/>
    <n v="33"/>
    <n v="30"/>
    <n v="27"/>
    <n v="26"/>
    <n v="14"/>
    <n v="27"/>
  </r>
  <r>
    <x v="32"/>
    <s v="viernes"/>
    <s v="V"/>
    <n v="24"/>
    <n v="14"/>
    <n v="13"/>
    <n v="13"/>
    <n v="6"/>
    <n v="13"/>
  </r>
  <r>
    <x v="32"/>
    <s v="viernes"/>
    <s v="N"/>
    <n v="33"/>
    <n v="31"/>
    <n v="31"/>
    <n v="27"/>
    <n v="17"/>
    <n v="31"/>
  </r>
  <r>
    <x v="33"/>
    <s v="sábado"/>
    <s v="M"/>
    <n v="33"/>
    <n v="29"/>
    <n v="27"/>
    <n v="25"/>
    <n v="23"/>
    <n v="27"/>
  </r>
  <r>
    <x v="33"/>
    <s v="sábado"/>
    <s v="V"/>
    <n v="13"/>
    <n v="13"/>
    <n v="13"/>
    <n v="13"/>
    <n v="6"/>
    <n v="13"/>
  </r>
  <r>
    <x v="33"/>
    <s v="sábado"/>
    <s v="N"/>
    <s v=""/>
    <s v=""/>
    <s v=""/>
    <s v=""/>
    <s v=""/>
    <s v=""/>
  </r>
  <r>
    <x v="34"/>
    <s v="domingo"/>
    <s v="M"/>
    <n v="33"/>
    <n v="24"/>
    <n v="21"/>
    <n v="16"/>
    <n v="7"/>
    <n v="21"/>
  </r>
  <r>
    <x v="34"/>
    <s v="domingo"/>
    <s v="V"/>
    <s v=""/>
    <s v=""/>
    <s v=""/>
    <s v=""/>
    <s v=""/>
    <s v=""/>
  </r>
  <r>
    <x v="34"/>
    <s v="domingo"/>
    <s v="N"/>
    <n v="33"/>
    <n v="25"/>
    <n v="33"/>
    <n v="22"/>
    <n v="14"/>
    <n v="25"/>
  </r>
  <r>
    <x v="35"/>
    <s v="lunes"/>
    <s v="M"/>
    <n v="33"/>
    <n v="29"/>
    <n v="26"/>
    <n v="25"/>
    <n v="23"/>
    <n v="26"/>
  </r>
  <r>
    <x v="35"/>
    <s v="lunes"/>
    <s v="V"/>
    <n v="23"/>
    <n v="16"/>
    <n v="14"/>
    <n v="14"/>
    <n v="10"/>
    <n v="14"/>
  </r>
  <r>
    <x v="35"/>
    <s v="lunes"/>
    <s v="N"/>
    <n v="34"/>
    <n v="30"/>
    <n v="29"/>
    <n v="26"/>
    <n v="11"/>
    <n v="29"/>
  </r>
  <r>
    <x v="36"/>
    <s v="martes"/>
    <s v="M"/>
    <n v="33"/>
    <n v="25"/>
    <n v="23"/>
    <n v="22"/>
    <n v="13"/>
    <n v="23"/>
  </r>
  <r>
    <x v="36"/>
    <s v="martes"/>
    <s v="V"/>
    <n v="32"/>
    <n v="18"/>
    <n v="15"/>
    <n v="14"/>
    <n v="9"/>
    <n v="15"/>
  </r>
  <r>
    <x v="36"/>
    <s v="martes"/>
    <s v="N"/>
    <n v="34"/>
    <n v="27"/>
    <n v="23"/>
    <n v="21"/>
    <n v="13"/>
    <n v="23"/>
  </r>
  <r>
    <x v="37"/>
    <s v="miércoles"/>
    <s v="M"/>
    <n v="31"/>
    <n v="26"/>
    <n v="22"/>
    <n v="20"/>
    <n v="13"/>
    <n v="22"/>
  </r>
  <r>
    <x v="37"/>
    <s v="miércoles"/>
    <s v="V"/>
    <n v="31"/>
    <n v="17"/>
    <n v="16"/>
    <n v="15"/>
    <n v="8"/>
    <n v="16"/>
  </r>
  <r>
    <x v="37"/>
    <s v="miércoles"/>
    <s v="N"/>
    <n v="32"/>
    <n v="30"/>
    <n v="29"/>
    <n v="26"/>
    <n v="13"/>
    <n v="29"/>
  </r>
  <r>
    <x v="38"/>
    <s v="jueves"/>
    <s v="M"/>
    <n v="33"/>
    <n v="30"/>
    <n v="27"/>
    <n v="25"/>
    <n v="14"/>
    <n v="27"/>
  </r>
  <r>
    <x v="38"/>
    <s v="jueves"/>
    <s v="V"/>
    <n v="26"/>
    <n v="18"/>
    <n v="17"/>
    <n v="15"/>
    <n v="7"/>
    <n v="17"/>
  </r>
  <r>
    <x v="38"/>
    <s v="jueves"/>
    <s v="N"/>
    <n v="32"/>
    <n v="30"/>
    <n v="29"/>
    <n v="26"/>
    <n v="13"/>
    <n v="29"/>
  </r>
  <r>
    <x v="39"/>
    <s v="viernes"/>
    <s v="M"/>
    <n v="30"/>
    <n v="29"/>
    <n v="26"/>
    <n v="25"/>
    <n v="16"/>
    <n v="26"/>
  </r>
  <r>
    <x v="39"/>
    <s v="viernes"/>
    <s v="V"/>
    <n v="29"/>
    <n v="16"/>
    <n v="15"/>
    <n v="14"/>
    <n v="11"/>
    <n v="15"/>
  </r>
  <r>
    <x v="39"/>
    <s v="viernes"/>
    <s v="N"/>
    <n v="31"/>
    <n v="28"/>
    <n v="29"/>
    <n v="24"/>
    <n v="15"/>
    <n v="28"/>
  </r>
  <r>
    <x v="40"/>
    <s v="sábado"/>
    <s v="M"/>
    <n v="30"/>
    <n v="30"/>
    <n v="27"/>
    <n v="24"/>
    <n v="6"/>
    <n v="27"/>
  </r>
  <r>
    <x v="40"/>
    <s v="sábado"/>
    <s v="V"/>
    <n v="26"/>
    <n v="12"/>
    <n v="11"/>
    <n v="11"/>
    <n v="4"/>
    <n v="11"/>
  </r>
  <r>
    <x v="40"/>
    <s v="sábado"/>
    <s v="N"/>
    <n v="34"/>
    <n v="20"/>
    <n v="19"/>
    <n v="19"/>
    <n v="10"/>
    <n v="19"/>
  </r>
  <r>
    <x v="41"/>
    <s v="domingo"/>
    <s v="M"/>
    <n v="34"/>
    <n v="17"/>
    <n v="15"/>
    <n v="15"/>
    <n v="7"/>
    <n v="15"/>
  </r>
  <r>
    <x v="41"/>
    <s v="domingo"/>
    <s v="V"/>
    <s v=""/>
    <s v=""/>
    <s v=""/>
    <s v=""/>
    <s v=""/>
    <s v=""/>
  </r>
  <r>
    <x v="41"/>
    <s v="domingo"/>
    <s v="N"/>
    <s v=""/>
    <s v=""/>
    <s v=""/>
    <s v=""/>
    <s v=""/>
    <s v=""/>
  </r>
  <r>
    <x v="42"/>
    <s v="lunes"/>
    <s v="M"/>
    <n v="30"/>
    <n v="20"/>
    <n v="17"/>
    <n v="16"/>
    <n v="16"/>
    <n v="17"/>
  </r>
  <r>
    <x v="42"/>
    <s v="lunes"/>
    <s v="V"/>
    <s v=""/>
    <s v=""/>
    <s v=""/>
    <s v=""/>
    <s v=""/>
    <s v=""/>
  </r>
  <r>
    <x v="42"/>
    <s v="lunes"/>
    <s v="N"/>
    <n v="37"/>
    <n v="29"/>
    <n v="28"/>
    <n v="26"/>
    <n v="16"/>
    <n v="28"/>
  </r>
  <r>
    <x v="43"/>
    <s v="martes"/>
    <s v="M"/>
    <n v="33"/>
    <n v="29"/>
    <n v="26"/>
    <n v="24"/>
    <n v="14"/>
    <n v="26"/>
  </r>
  <r>
    <x v="43"/>
    <s v="martes"/>
    <s v="V"/>
    <n v="29"/>
    <n v="19"/>
    <n v="19"/>
    <n v="17"/>
    <n v="6"/>
    <n v="19"/>
  </r>
  <r>
    <x v="43"/>
    <s v="martes"/>
    <s v="N"/>
    <n v="35"/>
    <n v="32"/>
    <n v="31"/>
    <n v="27"/>
    <n v="15"/>
    <n v="31"/>
  </r>
  <r>
    <x v="44"/>
    <s v="miércoles"/>
    <s v="M"/>
    <n v="33"/>
    <n v="28"/>
    <n v="25"/>
    <n v="23"/>
    <n v="22"/>
    <n v="25"/>
  </r>
  <r>
    <x v="44"/>
    <s v="miércoles"/>
    <s v="V"/>
    <n v="24"/>
    <n v="18"/>
    <n v="18"/>
    <n v="18"/>
    <n v="6"/>
    <n v="18"/>
  </r>
  <r>
    <x v="44"/>
    <s v="miércoles"/>
    <s v="N"/>
    <n v="31"/>
    <n v="30"/>
    <n v="31"/>
    <n v="27"/>
    <n v="23"/>
    <n v="30"/>
  </r>
  <r>
    <x v="45"/>
    <s v="jueves"/>
    <s v="M"/>
    <n v="30"/>
    <n v="31"/>
    <n v="28"/>
    <n v="26"/>
    <n v="15"/>
    <n v="28"/>
  </r>
  <r>
    <x v="45"/>
    <s v="jueves"/>
    <s v="V"/>
    <n v="25"/>
    <n v="17"/>
    <n v="16"/>
    <n v="16"/>
    <n v="5"/>
    <n v="16"/>
  </r>
  <r>
    <x v="45"/>
    <s v="jueves"/>
    <s v="N"/>
    <n v="35"/>
    <n v="31"/>
    <n v="30"/>
    <n v="27"/>
    <n v="20"/>
    <n v="30"/>
  </r>
  <r>
    <x v="46"/>
    <s v="viernes"/>
    <s v="M"/>
    <n v="35"/>
    <n v="32"/>
    <n v="29"/>
    <n v="28"/>
    <n v="16"/>
    <n v="29"/>
  </r>
  <r>
    <x v="46"/>
    <s v="viernes"/>
    <s v="V"/>
    <n v="29"/>
    <n v="17"/>
    <n v="16"/>
    <n v="15"/>
    <n v="9"/>
    <n v="16"/>
  </r>
  <r>
    <x v="46"/>
    <s v="viernes"/>
    <s v="N"/>
    <n v="36"/>
    <n v="33"/>
    <n v="31"/>
    <n v="27"/>
    <n v="13"/>
    <n v="31"/>
  </r>
  <r>
    <x v="47"/>
    <s v="sábado"/>
    <s v="M"/>
    <n v="34"/>
    <n v="29"/>
    <n v="26"/>
    <n v="25"/>
    <n v="16"/>
    <n v="26"/>
  </r>
  <r>
    <x v="47"/>
    <s v="sábado"/>
    <s v="V"/>
    <n v="27"/>
    <n v="14"/>
    <n v="14"/>
    <n v="13"/>
    <n v="5"/>
    <n v="14"/>
  </r>
  <r>
    <x v="47"/>
    <s v="sábado"/>
    <s v="N"/>
    <s v=""/>
    <s v=""/>
    <s v=""/>
    <s v=""/>
    <s v=""/>
    <s v=""/>
  </r>
  <r>
    <x v="48"/>
    <s v="domingo"/>
    <s v="M"/>
    <n v="32"/>
    <n v="18"/>
    <n v="18"/>
    <n v="17"/>
    <n v="4"/>
    <n v="18"/>
  </r>
  <r>
    <x v="48"/>
    <s v="domingo"/>
    <s v="V"/>
    <s v=""/>
    <s v=""/>
    <s v=""/>
    <s v=""/>
    <s v=""/>
    <s v=""/>
  </r>
  <r>
    <x v="48"/>
    <s v="domingo"/>
    <s v="N"/>
    <n v="31"/>
    <n v="28"/>
    <n v="32"/>
    <n v="25"/>
    <n v="11"/>
    <n v="28"/>
  </r>
  <r>
    <x v="49"/>
    <s v="lunes"/>
    <s v="M"/>
    <n v="27"/>
    <n v="30"/>
    <n v="28"/>
    <n v="25"/>
    <n v="21"/>
    <n v="28"/>
  </r>
  <r>
    <x v="49"/>
    <s v="lunes"/>
    <s v="V"/>
    <n v="25"/>
    <n v="16"/>
    <n v="14"/>
    <n v="13"/>
    <n v="13"/>
    <n v="14"/>
  </r>
  <r>
    <x v="49"/>
    <s v="lunes"/>
    <s v="N"/>
    <n v="25"/>
    <n v="28"/>
    <n v="27"/>
    <n v="24"/>
    <n v="19"/>
    <n v="27"/>
  </r>
  <r>
    <x v="50"/>
    <s v="martes"/>
    <s v="M"/>
    <n v="28"/>
    <n v="32"/>
    <n v="27"/>
    <n v="25"/>
    <n v="24"/>
    <n v="27"/>
  </r>
  <r>
    <x v="50"/>
    <s v="martes"/>
    <s v="V"/>
    <n v="19"/>
    <n v="16"/>
    <n v="15"/>
    <n v="14"/>
    <n v="7"/>
    <n v="15"/>
  </r>
  <r>
    <x v="50"/>
    <s v="martes"/>
    <s v="N"/>
    <n v="35"/>
    <n v="32"/>
    <n v="29"/>
    <n v="27"/>
    <n v="17"/>
    <n v="29"/>
  </r>
  <r>
    <x v="51"/>
    <s v="miércoles"/>
    <s v="M"/>
    <n v="27"/>
    <n v="28"/>
    <n v="26"/>
    <n v="23"/>
    <n v="12"/>
    <n v="26"/>
  </r>
  <r>
    <x v="51"/>
    <s v="miércoles"/>
    <s v="V"/>
    <n v="29"/>
    <n v="20"/>
    <n v="15"/>
    <n v="15"/>
    <n v="9"/>
    <n v="15"/>
  </r>
  <r>
    <x v="51"/>
    <s v="miércoles"/>
    <s v="N"/>
    <n v="37"/>
    <n v="35"/>
    <n v="28"/>
    <n v="26"/>
    <n v="23"/>
    <n v="28"/>
  </r>
  <r>
    <x v="52"/>
    <s v="jueves"/>
    <s v="M"/>
    <n v="34"/>
    <n v="29"/>
    <n v="27"/>
    <n v="25"/>
    <n v="17"/>
    <n v="27"/>
  </r>
  <r>
    <x v="52"/>
    <s v="jueves"/>
    <s v="V"/>
    <n v="26"/>
    <n v="18"/>
    <n v="14"/>
    <n v="12"/>
    <n v="9"/>
    <n v="14"/>
  </r>
  <r>
    <x v="52"/>
    <s v="jueves"/>
    <s v="N"/>
    <n v="33"/>
    <n v="31"/>
    <n v="27"/>
    <n v="24"/>
    <n v="12"/>
    <n v="27"/>
  </r>
  <r>
    <x v="53"/>
    <s v="viernes"/>
    <s v="M"/>
    <n v="32"/>
    <n v="31"/>
    <n v="29"/>
    <n v="23"/>
    <n v="16"/>
    <n v="29"/>
  </r>
  <r>
    <x v="53"/>
    <s v="viernes"/>
    <s v="V"/>
    <n v="23"/>
    <n v="14"/>
    <n v="13"/>
    <n v="12"/>
    <n v="9"/>
    <n v="13"/>
  </r>
  <r>
    <x v="53"/>
    <s v="viernes"/>
    <s v="N"/>
    <n v="35"/>
    <n v="33"/>
    <n v="29"/>
    <n v="26"/>
    <n v="12"/>
    <n v="29"/>
  </r>
  <r>
    <x v="54"/>
    <s v="sábado"/>
    <s v="M"/>
    <n v="35"/>
    <n v="27"/>
    <n v="25"/>
    <n v="23"/>
    <n v="20"/>
    <n v="25"/>
  </r>
  <r>
    <x v="54"/>
    <s v="sábado"/>
    <s v="V"/>
    <n v="27"/>
    <n v="12"/>
    <n v="12"/>
    <n v="12"/>
    <n v="4"/>
    <n v="12"/>
  </r>
  <r>
    <x v="54"/>
    <s v="sábado"/>
    <s v="N"/>
    <s v=""/>
    <s v=""/>
    <s v=""/>
    <s v=""/>
    <s v=""/>
    <s v=""/>
  </r>
  <r>
    <x v="55"/>
    <s v="domingo"/>
    <s v="M"/>
    <n v="32"/>
    <n v="20"/>
    <n v="18"/>
    <n v="16"/>
    <n v="6"/>
    <n v="18"/>
  </r>
  <r>
    <x v="55"/>
    <s v="domingo"/>
    <s v="V"/>
    <s v=""/>
    <s v=""/>
    <s v=""/>
    <s v=""/>
    <s v=""/>
    <s v=""/>
  </r>
  <r>
    <x v="55"/>
    <s v="domingo"/>
    <s v="N"/>
    <n v="31"/>
    <n v="30"/>
    <n v="26"/>
    <n v="26"/>
    <n v="18"/>
    <n v="26"/>
  </r>
  <r>
    <x v="56"/>
    <s v="lunes"/>
    <s v="M"/>
    <n v="26"/>
    <n v="27"/>
    <n v="24"/>
    <n v="21"/>
    <n v="17"/>
    <n v="24"/>
  </r>
  <r>
    <x v="56"/>
    <s v="lunes"/>
    <s v="V"/>
    <n v="28"/>
    <n v="19"/>
    <n v="16"/>
    <n v="15"/>
    <n v="7"/>
    <n v="16"/>
  </r>
  <r>
    <x v="56"/>
    <s v="lunes"/>
    <s v="N"/>
    <n v="29"/>
    <n v="28"/>
    <n v="27"/>
    <n v="24"/>
    <n v="23"/>
    <n v="27"/>
  </r>
  <r>
    <x v="57"/>
    <s v="martes"/>
    <s v="M"/>
    <n v="22"/>
    <n v="27"/>
    <n v="25"/>
    <n v="20"/>
    <n v="19"/>
    <n v="25"/>
  </r>
  <r>
    <x v="57"/>
    <s v="martes"/>
    <s v="V"/>
    <n v="25"/>
    <n v="16"/>
    <n v="14"/>
    <n v="12"/>
    <n v="6"/>
    <n v="14"/>
  </r>
  <r>
    <x v="57"/>
    <s v="martes"/>
    <s v="N"/>
    <n v="32"/>
    <n v="27"/>
    <n v="25"/>
    <n v="23"/>
    <n v="11"/>
    <n v="25"/>
  </r>
  <r>
    <x v="58"/>
    <s v="miércoles"/>
    <s v="M"/>
    <n v="31"/>
    <n v="30"/>
    <n v="28"/>
    <n v="23"/>
    <n v="17"/>
    <n v="28"/>
  </r>
  <r>
    <x v="58"/>
    <s v="miércoles"/>
    <s v="V"/>
    <n v="30"/>
    <n v="16"/>
    <n v="15"/>
    <n v="13"/>
    <n v="8"/>
    <n v="15"/>
  </r>
  <r>
    <x v="58"/>
    <s v="miércoles"/>
    <s v="N"/>
    <n v="30"/>
    <n v="28"/>
    <n v="28"/>
    <n v="25"/>
    <n v="14"/>
    <n v="28"/>
  </r>
  <r>
    <x v="59"/>
    <s v="jueves"/>
    <s v="M"/>
    <n v="26"/>
    <n v="31"/>
    <n v="27"/>
    <n v="24"/>
    <n v="15"/>
    <n v="27"/>
  </r>
  <r>
    <x v="59"/>
    <s v="jueves"/>
    <s v="V"/>
    <n v="30"/>
    <n v="17"/>
    <n v="15"/>
    <n v="15"/>
    <n v="7"/>
    <n v="15"/>
  </r>
  <r>
    <x v="59"/>
    <s v="jueves"/>
    <s v="N"/>
    <n v="33"/>
    <n v="32"/>
    <n v="26"/>
    <n v="24"/>
    <n v="9"/>
    <n v="26"/>
  </r>
  <r>
    <x v="60"/>
    <s v="viernes"/>
    <s v="M"/>
    <n v="30"/>
    <n v="31"/>
    <n v="29"/>
    <n v="26"/>
    <n v="8"/>
    <n v="29"/>
  </r>
  <r>
    <x v="60"/>
    <s v="viernes"/>
    <s v="V"/>
    <n v="28"/>
    <n v="15"/>
    <n v="9"/>
    <n v="9"/>
    <n v="6"/>
    <n v="9"/>
  </r>
  <r>
    <x v="60"/>
    <s v="viernes"/>
    <s v="N"/>
    <n v="34"/>
    <n v="35"/>
    <n v="29"/>
    <n v="26"/>
    <n v="12"/>
    <n v="29"/>
  </r>
  <r>
    <x v="61"/>
    <s v="sábado"/>
    <s v="M"/>
    <n v="35"/>
    <n v="29"/>
    <n v="27"/>
    <n v="23"/>
    <n v="8"/>
    <n v="27"/>
  </r>
  <r>
    <x v="61"/>
    <s v="sábado"/>
    <s v="V"/>
    <n v="23"/>
    <n v="13"/>
    <n v="11"/>
    <n v="11"/>
    <n v="7"/>
    <n v="11"/>
  </r>
  <r>
    <x v="61"/>
    <s v="sábado"/>
    <s v="N"/>
    <s v=""/>
    <s v=""/>
    <s v=""/>
    <s v=""/>
    <s v=""/>
    <s v=""/>
  </r>
  <r>
    <x v="62"/>
    <s v="domingo"/>
    <s v="M"/>
    <n v="32"/>
    <n v="18"/>
    <n v="20"/>
    <n v="25"/>
    <n v="11"/>
    <n v="18"/>
  </r>
  <r>
    <x v="62"/>
    <s v="domingo"/>
    <s v="V"/>
    <s v=""/>
    <s v=""/>
    <s v=""/>
    <s v=""/>
    <s v=""/>
    <s v=""/>
  </r>
  <r>
    <x v="62"/>
    <s v="domingo"/>
    <s v="N"/>
    <n v="30"/>
    <n v="31"/>
    <n v="27"/>
    <n v="25"/>
    <n v="13"/>
    <n v="27"/>
  </r>
  <r>
    <x v="63"/>
    <s v="lunes"/>
    <s v="M"/>
    <n v="26"/>
    <n v="31"/>
    <n v="30"/>
    <n v="25"/>
    <n v="22"/>
    <n v="30"/>
  </r>
  <r>
    <x v="63"/>
    <s v="lunes"/>
    <s v="V"/>
    <n v="23"/>
    <n v="17"/>
    <n v="11"/>
    <n v="11"/>
    <n v="4"/>
    <n v="11"/>
  </r>
  <r>
    <x v="63"/>
    <s v="lunes"/>
    <s v="N"/>
    <n v="33"/>
    <n v="32"/>
    <n v="31"/>
    <n v="28"/>
    <n v="14"/>
    <n v="31"/>
  </r>
  <r>
    <x v="64"/>
    <s v="martes"/>
    <s v="M"/>
    <n v="32"/>
    <n v="29"/>
    <n v="26"/>
    <n v="24"/>
    <n v="16"/>
    <n v="26"/>
  </r>
  <r>
    <x v="64"/>
    <s v="martes"/>
    <s v="V"/>
    <n v="25"/>
    <n v="16"/>
    <n v="13"/>
    <n v="13"/>
    <n v="5"/>
    <n v="13"/>
  </r>
  <r>
    <x v="64"/>
    <s v="martes"/>
    <s v="N"/>
    <n v="33"/>
    <n v="33"/>
    <n v="30"/>
    <n v="28"/>
    <n v="12"/>
    <n v="30"/>
  </r>
  <r>
    <x v="65"/>
    <s v="miércoles"/>
    <s v="M"/>
    <n v="30"/>
    <n v="32"/>
    <n v="31"/>
    <n v="28"/>
    <n v="14"/>
    <n v="31"/>
  </r>
  <r>
    <x v="65"/>
    <s v="miércoles"/>
    <s v="V"/>
    <n v="23"/>
    <n v="14"/>
    <n v="14"/>
    <n v="14"/>
    <n v="7"/>
    <n v="14"/>
  </r>
  <r>
    <x v="65"/>
    <s v="miércoles"/>
    <s v="N"/>
    <n v="34"/>
    <n v="33"/>
    <n v="31"/>
    <n v="26"/>
    <n v="18"/>
    <n v="31"/>
  </r>
  <r>
    <x v="66"/>
    <s v="jueves"/>
    <s v="M"/>
    <n v="30"/>
    <n v="32"/>
    <n v="31"/>
    <n v="28"/>
    <n v="14"/>
    <n v="31"/>
  </r>
  <r>
    <x v="66"/>
    <s v="jueves"/>
    <s v="V"/>
    <n v="23"/>
    <n v="14"/>
    <n v="14"/>
    <n v="14"/>
    <n v="7"/>
    <n v="14"/>
  </r>
  <r>
    <x v="66"/>
    <s v="jueves"/>
    <s v="N"/>
    <n v="34"/>
    <n v="33"/>
    <n v="31"/>
    <n v="26"/>
    <n v="18"/>
    <n v="31"/>
  </r>
  <r>
    <x v="67"/>
    <s v="viernes"/>
    <s v="M"/>
    <n v="32"/>
    <n v="33"/>
    <n v="31"/>
    <n v="26"/>
    <n v="13"/>
    <n v="31"/>
  </r>
  <r>
    <x v="67"/>
    <s v="viernes"/>
    <s v="V"/>
    <n v="29"/>
    <n v="18"/>
    <n v="16"/>
    <n v="14"/>
    <n v="5"/>
    <n v="16"/>
  </r>
  <r>
    <x v="67"/>
    <s v="viernes"/>
    <s v="N"/>
    <n v="34"/>
    <n v="37"/>
    <n v="32"/>
    <n v="28"/>
    <n v="11"/>
    <n v="32"/>
  </r>
  <r>
    <x v="68"/>
    <s v="sábado"/>
    <s v="M"/>
    <n v="34"/>
    <n v="29"/>
    <n v="26"/>
    <n v="24"/>
    <n v="14"/>
    <n v="26"/>
  </r>
  <r>
    <x v="68"/>
    <s v="sábado"/>
    <s v="V"/>
    <n v="32"/>
    <n v="13"/>
    <n v="11"/>
    <n v="11"/>
    <n v="6"/>
    <n v="11"/>
  </r>
  <r>
    <x v="68"/>
    <s v="sábado"/>
    <s v="N"/>
    <s v=""/>
    <s v=""/>
    <s v=""/>
    <s v=""/>
    <s v=""/>
    <s v=""/>
  </r>
  <r>
    <x v="69"/>
    <s v="domingo"/>
    <s v="M"/>
    <n v="36"/>
    <n v="21"/>
    <n v="19"/>
    <n v="17"/>
    <n v="8"/>
    <n v="19"/>
  </r>
  <r>
    <x v="69"/>
    <s v="domingo"/>
    <s v="V"/>
    <s v=""/>
    <s v=""/>
    <s v=""/>
    <s v=""/>
    <s v=""/>
    <s v=""/>
  </r>
  <r>
    <x v="69"/>
    <s v="domingo"/>
    <s v="N"/>
    <n v="33"/>
    <n v="32"/>
    <n v="28"/>
    <n v="25"/>
    <n v="16"/>
    <n v="28"/>
  </r>
  <r>
    <x v="70"/>
    <s v="lunes"/>
    <s v="M"/>
    <n v="30"/>
    <n v="29"/>
    <n v="27"/>
    <n v="25"/>
    <n v="17"/>
    <n v="27"/>
  </r>
  <r>
    <x v="70"/>
    <s v="lunes"/>
    <s v="V"/>
    <n v="27"/>
    <n v="17"/>
    <n v="15"/>
    <n v="15"/>
    <n v="12"/>
    <n v="15"/>
  </r>
  <r>
    <x v="70"/>
    <s v="lunes"/>
    <s v="N"/>
    <n v="29"/>
    <n v="34"/>
    <n v="30"/>
    <n v="26"/>
    <n v="17"/>
    <n v="30"/>
  </r>
  <r>
    <x v="71"/>
    <s v="martes"/>
    <s v="M"/>
    <n v="31"/>
    <n v="30"/>
    <n v="28"/>
    <n v="26"/>
    <n v="18"/>
    <n v="28"/>
  </r>
  <r>
    <x v="71"/>
    <s v="martes"/>
    <s v="V"/>
    <n v="24"/>
    <n v="16"/>
    <n v="15"/>
    <n v="13"/>
    <n v="10"/>
    <n v="15"/>
  </r>
  <r>
    <x v="71"/>
    <s v="martes"/>
    <s v="N"/>
    <n v="33"/>
    <n v="33"/>
    <n v="31"/>
    <n v="26"/>
    <n v="18"/>
    <n v="31"/>
  </r>
  <r>
    <x v="72"/>
    <s v="miércoles"/>
    <s v="M"/>
    <n v="29"/>
    <n v="30"/>
    <n v="28"/>
    <n v="26"/>
    <n v="16"/>
    <n v="28"/>
  </r>
  <r>
    <x v="72"/>
    <s v="miércoles"/>
    <s v="V"/>
    <n v="29"/>
    <n v="15"/>
    <n v="14"/>
    <n v="13"/>
    <n v="9"/>
    <n v="14"/>
  </r>
  <r>
    <x v="72"/>
    <s v="miércoles"/>
    <s v="N"/>
    <n v="34"/>
    <n v="31"/>
    <n v="29"/>
    <n v="27"/>
    <n v="23"/>
    <n v="29"/>
  </r>
  <r>
    <x v="73"/>
    <s v="jueves"/>
    <s v="M"/>
    <n v="28"/>
    <n v="28"/>
    <n v="27"/>
    <n v="22"/>
    <n v="12"/>
    <n v="27"/>
  </r>
  <r>
    <x v="73"/>
    <s v="jueves"/>
    <s v="V"/>
    <n v="25"/>
    <n v="18"/>
    <n v="17"/>
    <n v="16"/>
    <n v="8"/>
    <n v="17"/>
  </r>
  <r>
    <x v="73"/>
    <s v="jueves"/>
    <s v="N"/>
    <n v="32"/>
    <n v="34"/>
    <n v="30"/>
    <n v="27"/>
    <n v="11"/>
    <n v="30"/>
  </r>
  <r>
    <x v="74"/>
    <s v="viernes"/>
    <s v="M"/>
    <n v="35"/>
    <n v="30"/>
    <n v="28"/>
    <n v="25"/>
    <n v="17"/>
    <n v="28"/>
  </r>
  <r>
    <x v="74"/>
    <s v="viernes"/>
    <s v="V"/>
    <n v="33"/>
    <n v="17"/>
    <n v="14"/>
    <n v="12"/>
    <n v="9"/>
    <n v="14"/>
  </r>
  <r>
    <x v="74"/>
    <s v="viernes"/>
    <s v="N"/>
    <n v="36"/>
    <n v="32"/>
    <n v="29"/>
    <n v="26"/>
    <n v="4"/>
    <n v="29"/>
  </r>
  <r>
    <x v="75"/>
    <s v="sábado"/>
    <s v="M"/>
    <n v="36"/>
    <n v="24"/>
    <n v="25"/>
    <n v="21"/>
    <n v="15"/>
    <n v="24"/>
  </r>
  <r>
    <x v="75"/>
    <s v="sábado"/>
    <s v="V"/>
    <n v="36"/>
    <n v="11"/>
    <n v="11"/>
    <n v="8"/>
    <n v="4"/>
    <n v="11"/>
  </r>
  <r>
    <x v="75"/>
    <s v="sábado"/>
    <s v="N"/>
    <s v=""/>
    <s v=""/>
    <s v=""/>
    <s v=""/>
    <s v=""/>
    <s v=""/>
  </r>
  <r>
    <x v="76"/>
    <s v="domingo"/>
    <s v="M"/>
    <n v="31"/>
    <n v="20"/>
    <n v="18"/>
    <n v="17"/>
    <n v="10"/>
    <n v="18"/>
  </r>
  <r>
    <x v="76"/>
    <s v="domingo"/>
    <s v="V"/>
    <s v=""/>
    <s v=""/>
    <s v=""/>
    <s v=""/>
    <s v=""/>
    <s v=""/>
  </r>
  <r>
    <x v="76"/>
    <s v="domingo"/>
    <s v="N"/>
    <n v="32"/>
    <n v="31"/>
    <n v="27"/>
    <n v="26"/>
    <n v="15"/>
    <n v="27"/>
  </r>
  <r>
    <x v="77"/>
    <s v="lunes"/>
    <s v="M"/>
    <n v="32"/>
    <n v="25"/>
    <n v="23"/>
    <n v="22"/>
    <n v="25"/>
    <n v="23"/>
  </r>
  <r>
    <x v="77"/>
    <s v="lunes"/>
    <s v="V"/>
    <n v="28"/>
    <n v="20"/>
    <n v="16"/>
    <n v="15"/>
    <n v="11"/>
    <n v="16"/>
  </r>
  <r>
    <x v="77"/>
    <s v="lunes"/>
    <s v="N"/>
    <n v="36"/>
    <n v="34"/>
    <n v="31"/>
    <n v="27"/>
    <n v="19"/>
    <n v="31"/>
  </r>
  <r>
    <x v="78"/>
    <s v="martes"/>
    <s v="M"/>
    <n v="33"/>
    <n v="28"/>
    <n v="27"/>
    <n v="26"/>
    <n v="25"/>
    <n v="27"/>
  </r>
  <r>
    <x v="78"/>
    <s v="martes"/>
    <s v="V"/>
    <n v="22"/>
    <n v="19"/>
    <n v="18"/>
    <n v="16"/>
    <n v="11"/>
    <n v="18"/>
  </r>
  <r>
    <x v="78"/>
    <s v="martes"/>
    <s v="N"/>
    <n v="31"/>
    <n v="31"/>
    <n v="27"/>
    <n v="25"/>
    <n v="15"/>
    <n v="27"/>
  </r>
  <r>
    <x v="79"/>
    <s v="miércoles"/>
    <s v="M"/>
    <n v="26"/>
    <n v="29"/>
    <n v="26"/>
    <n v="23"/>
    <n v="14"/>
    <n v="26"/>
  </r>
  <r>
    <x v="79"/>
    <s v="miércoles"/>
    <s v="V"/>
    <n v="18"/>
    <n v="18"/>
    <n v="14"/>
    <n v="13"/>
    <n v="9"/>
    <n v="14"/>
  </r>
  <r>
    <x v="79"/>
    <s v="miércoles"/>
    <s v="N"/>
    <n v="23"/>
    <n v="29"/>
    <n v="28"/>
    <n v="22"/>
    <n v="11"/>
    <n v="28"/>
  </r>
  <r>
    <x v="80"/>
    <s v="jueves"/>
    <s v="M"/>
    <n v="23"/>
    <n v="26"/>
    <n v="23"/>
    <n v="21"/>
    <n v="21"/>
    <n v="23"/>
  </r>
  <r>
    <x v="80"/>
    <s v="jueves"/>
    <s v="V"/>
    <n v="24"/>
    <n v="20"/>
    <n v="14"/>
    <n v="14"/>
    <n v="9"/>
    <n v="14"/>
  </r>
  <r>
    <x v="80"/>
    <s v="jueves"/>
    <s v="N"/>
    <n v="26"/>
    <n v="28"/>
    <n v="30"/>
    <n v="23"/>
    <n v="19"/>
    <n v="28"/>
  </r>
  <r>
    <x v="81"/>
    <s v="viernes"/>
    <s v="M"/>
    <n v="25"/>
    <n v="31"/>
    <n v="24"/>
    <n v="22"/>
    <n v="18"/>
    <n v="24"/>
  </r>
  <r>
    <x v="81"/>
    <s v="viernes"/>
    <s v="V"/>
    <n v="24"/>
    <n v="20"/>
    <n v="17"/>
    <n v="16"/>
    <n v="12"/>
    <n v="17"/>
  </r>
  <r>
    <x v="81"/>
    <s v="viernes"/>
    <s v="N"/>
    <n v="27"/>
    <n v="28"/>
    <n v="30"/>
    <n v="24"/>
    <n v="18"/>
    <n v="28"/>
  </r>
  <r>
    <x v="82"/>
    <s v="sábado"/>
    <s v="M"/>
    <n v="27"/>
    <n v="26"/>
    <n v="24"/>
    <n v="23"/>
    <n v="21"/>
    <n v="24"/>
  </r>
  <r>
    <x v="82"/>
    <s v="sábado"/>
    <s v="V"/>
    <n v="25"/>
    <n v="11"/>
    <n v="11"/>
    <n v="11"/>
    <n v="6"/>
    <n v="11"/>
  </r>
  <r>
    <x v="82"/>
    <s v="sábado"/>
    <s v="N"/>
    <s v=""/>
    <s v=""/>
    <s v=""/>
    <s v=""/>
    <s v=""/>
    <s v=""/>
  </r>
  <r>
    <x v="83"/>
    <s v="domingo"/>
    <s v="M"/>
    <n v="33"/>
    <n v="19"/>
    <n v="14"/>
    <n v="14"/>
    <n v="10"/>
    <n v="14"/>
  </r>
  <r>
    <x v="83"/>
    <s v="domingo"/>
    <s v="V"/>
    <s v=""/>
    <s v=""/>
    <s v=""/>
    <s v=""/>
    <s v=""/>
    <s v=""/>
  </r>
  <r>
    <x v="83"/>
    <s v="domingo"/>
    <s v="N"/>
    <n v="25"/>
    <n v="29"/>
    <n v="29"/>
    <n v="25"/>
    <n v="25"/>
    <n v="29"/>
  </r>
  <r>
    <x v="84"/>
    <s v="lunes"/>
    <s v="M"/>
    <n v="22"/>
    <n v="30"/>
    <n v="22"/>
    <n v="18"/>
    <n v="15"/>
    <n v="22"/>
  </r>
  <r>
    <x v="84"/>
    <s v="lunes"/>
    <s v="V"/>
    <n v="27"/>
    <n v="18"/>
    <n v="18"/>
    <n v="16"/>
    <n v="13"/>
    <n v="18"/>
  </r>
  <r>
    <x v="84"/>
    <s v="lunes"/>
    <s v="N"/>
    <n v="28"/>
    <n v="28"/>
    <n v="29"/>
    <n v="25"/>
    <n v="19"/>
    <n v="28"/>
  </r>
  <r>
    <x v="85"/>
    <s v="martes"/>
    <s v="M"/>
    <n v="27"/>
    <n v="26"/>
    <n v="24"/>
    <n v="22"/>
    <n v="16"/>
    <n v="24"/>
  </r>
  <r>
    <x v="85"/>
    <s v="martes"/>
    <s v="V"/>
    <n v="23"/>
    <n v="22"/>
    <n v="19"/>
    <n v="18"/>
    <n v="12"/>
    <n v="19"/>
  </r>
  <r>
    <x v="85"/>
    <s v="martes"/>
    <s v="N"/>
    <n v="26"/>
    <n v="26"/>
    <n v="32"/>
    <n v="23"/>
    <n v="8"/>
    <n v="26"/>
  </r>
  <r>
    <x v="86"/>
    <s v="miércoles"/>
    <s v="M"/>
    <n v="28"/>
    <n v="28"/>
    <n v="25"/>
    <n v="23"/>
    <n v="7"/>
    <n v="25"/>
  </r>
  <r>
    <x v="86"/>
    <s v="miércoles"/>
    <s v="V"/>
    <n v="28"/>
    <n v="21"/>
    <n v="16"/>
    <n v="16"/>
    <n v="12"/>
    <n v="16"/>
  </r>
  <r>
    <x v="86"/>
    <s v="miércoles"/>
    <s v="N"/>
    <n v="28"/>
    <n v="29"/>
    <n v="27"/>
    <n v="24"/>
    <n v="14"/>
    <n v="27"/>
  </r>
  <r>
    <x v="87"/>
    <s v="jueves"/>
    <s v="M"/>
    <n v="27"/>
    <n v="28"/>
    <n v="26"/>
    <n v="22"/>
    <n v="18"/>
    <n v="26"/>
  </r>
  <r>
    <x v="87"/>
    <s v="jueves"/>
    <s v="V"/>
    <n v="24"/>
    <n v="23"/>
    <n v="19"/>
    <n v="16"/>
    <n v="10"/>
    <n v="19"/>
  </r>
  <r>
    <x v="87"/>
    <s v="jueves"/>
    <s v="N"/>
    <n v="29"/>
    <n v="29"/>
    <n v="30"/>
    <n v="25"/>
    <n v="16"/>
    <n v="29"/>
  </r>
  <r>
    <x v="88"/>
    <s v="viernes"/>
    <s v="M"/>
    <n v="28"/>
    <n v="31"/>
    <n v="26"/>
    <n v="24"/>
    <n v="23"/>
    <n v="26"/>
  </r>
  <r>
    <x v="88"/>
    <s v="viernes"/>
    <s v="V"/>
    <n v="30"/>
    <n v="22"/>
    <n v="18"/>
    <n v="17"/>
    <n v="5"/>
    <n v="18"/>
  </r>
  <r>
    <x v="88"/>
    <s v="viernes"/>
    <s v="N"/>
    <n v="32"/>
    <n v="30"/>
    <n v="28"/>
    <n v="25"/>
    <n v="16"/>
    <n v="28"/>
  </r>
  <r>
    <x v="89"/>
    <s v="sábado"/>
    <s v="M"/>
    <n v="31"/>
    <n v="26"/>
    <n v="24"/>
    <n v="22"/>
    <n v="11"/>
    <n v="24"/>
  </r>
  <r>
    <x v="89"/>
    <s v="sábado"/>
    <s v="V"/>
    <n v="31"/>
    <n v="17"/>
    <n v="13"/>
    <n v="13"/>
    <n v="5"/>
    <n v="13"/>
  </r>
  <r>
    <x v="89"/>
    <s v="sábado"/>
    <s v="N"/>
    <s v=""/>
    <s v=""/>
    <s v=""/>
    <s v=""/>
    <s v=""/>
    <s v=""/>
  </r>
  <r>
    <x v="90"/>
    <s v="domingo"/>
    <s v="M"/>
    <n v="31"/>
    <n v="21"/>
    <n v="14"/>
    <n v="13"/>
    <n v="7"/>
    <n v="14"/>
  </r>
  <r>
    <x v="90"/>
    <s v="domingo"/>
    <s v="V"/>
    <s v=""/>
    <s v=""/>
    <s v=""/>
    <s v=""/>
    <s v=""/>
    <s v=""/>
  </r>
  <r>
    <x v="90"/>
    <s v="domingo"/>
    <s v="N"/>
    <n v="28"/>
    <n v="28"/>
    <n v="26"/>
    <n v="24"/>
    <n v="15"/>
    <n v="26"/>
  </r>
  <r>
    <x v="91"/>
    <s v="lunes"/>
    <s v="M"/>
    <n v="23"/>
    <n v="31"/>
    <n v="25"/>
    <n v="23"/>
    <n v="16"/>
    <n v="25"/>
  </r>
  <r>
    <x v="91"/>
    <s v="lunes"/>
    <s v="V"/>
    <n v="27"/>
    <n v="24"/>
    <n v="18"/>
    <n v="17"/>
    <n v="11"/>
    <n v="18"/>
  </r>
  <r>
    <x v="91"/>
    <s v="lunes"/>
    <s v="N"/>
    <n v="31"/>
    <n v="32"/>
    <n v="28"/>
    <n v="27"/>
    <n v="12"/>
    <n v="28"/>
  </r>
  <r>
    <x v="92"/>
    <s v="martes"/>
    <s v="M"/>
    <n v="27"/>
    <n v="26"/>
    <n v="23"/>
    <n v="21"/>
    <n v="8"/>
    <n v="23"/>
  </r>
  <r>
    <x v="92"/>
    <s v="martes"/>
    <s v="V"/>
    <s v=""/>
    <s v=""/>
    <s v=""/>
    <s v=""/>
    <s v=""/>
    <s v=""/>
  </r>
  <r>
    <x v="92"/>
    <s v="martes"/>
    <s v="N"/>
    <s v=""/>
    <s v=""/>
    <s v=""/>
    <s v=""/>
    <s v=""/>
    <s v=""/>
  </r>
  <r>
    <x v="93"/>
    <s v="miércoles"/>
    <s v="M"/>
    <n v="26"/>
    <n v="29"/>
    <n v="25"/>
    <n v="19"/>
    <n v="9"/>
    <n v="25"/>
  </r>
  <r>
    <x v="93"/>
    <s v="miércoles"/>
    <s v="V"/>
    <n v="25"/>
    <n v="16"/>
    <n v="15"/>
    <n v="15"/>
    <n v="8"/>
    <n v="15"/>
  </r>
  <r>
    <x v="93"/>
    <s v="miércoles"/>
    <s v="N"/>
    <n v="28"/>
    <n v="27"/>
    <n v="30"/>
    <n v="25"/>
    <n v="9"/>
    <n v="27"/>
  </r>
  <r>
    <x v="94"/>
    <s v="jueves"/>
    <s v="M"/>
    <n v="25"/>
    <n v="28"/>
    <n v="25"/>
    <n v="22"/>
    <n v="18"/>
    <n v="25"/>
  </r>
  <r>
    <x v="94"/>
    <s v="jueves"/>
    <s v="V"/>
    <n v="26"/>
    <n v="23"/>
    <n v="20"/>
    <n v="16"/>
    <n v="7"/>
    <n v="20"/>
  </r>
  <r>
    <x v="94"/>
    <s v="jueves"/>
    <s v="N"/>
    <n v="32"/>
    <n v="29"/>
    <n v="30"/>
    <n v="29"/>
    <n v="26"/>
    <n v="29"/>
  </r>
  <r>
    <x v="95"/>
    <s v="viernes"/>
    <s v="M"/>
    <n v="27"/>
    <n v="32"/>
    <n v="30"/>
    <n v="25"/>
    <n v="15"/>
    <n v="30"/>
  </r>
  <r>
    <x v="95"/>
    <s v="viernes"/>
    <s v="V"/>
    <n v="26"/>
    <n v="19"/>
    <n v="18"/>
    <n v="16"/>
    <n v="9"/>
    <n v="18"/>
  </r>
  <r>
    <x v="95"/>
    <s v="viernes"/>
    <s v="N"/>
    <n v="33"/>
    <n v="29"/>
    <n v="31"/>
    <n v="27"/>
    <n v="16"/>
    <n v="29"/>
  </r>
  <r>
    <x v="96"/>
    <s v="sábado"/>
    <s v="M"/>
    <n v="29"/>
    <n v="29"/>
    <n v="31"/>
    <n v="24"/>
    <n v="10"/>
    <n v="29"/>
  </r>
  <r>
    <x v="96"/>
    <s v="sábado"/>
    <s v="V"/>
    <n v="26"/>
    <n v="10"/>
    <n v="9"/>
    <n v="9"/>
    <n v="5"/>
    <n v="9"/>
  </r>
  <r>
    <x v="96"/>
    <s v="sábado"/>
    <s v="N"/>
    <s v=""/>
    <s v=""/>
    <s v=""/>
    <s v=""/>
    <s v=""/>
    <s v=""/>
  </r>
  <r>
    <x v="97"/>
    <s v="domingo"/>
    <s v="M"/>
    <n v="32"/>
    <n v="9"/>
    <n v="6"/>
    <n v="7"/>
    <n v="2"/>
    <n v="6"/>
  </r>
  <r>
    <x v="97"/>
    <s v="domingo"/>
    <s v="V"/>
    <s v=""/>
    <s v=""/>
    <s v=""/>
    <s v=""/>
    <s v=""/>
    <s v=""/>
  </r>
  <r>
    <x v="97"/>
    <s v="domingo"/>
    <s v="N"/>
    <n v="27"/>
    <n v="29"/>
    <n v="29"/>
    <n v="24"/>
    <n v="14"/>
    <n v="29"/>
  </r>
  <r>
    <x v="98"/>
    <s v="lunes"/>
    <s v="M"/>
    <n v="27"/>
    <n v="31"/>
    <n v="28"/>
    <n v="31"/>
    <n v="22"/>
    <n v="28"/>
  </r>
  <r>
    <x v="98"/>
    <s v="lunes"/>
    <s v="V"/>
    <n v="16"/>
    <n v="20"/>
    <n v="15"/>
    <n v="13"/>
    <n v="4"/>
    <n v="15"/>
  </r>
  <r>
    <x v="98"/>
    <s v="lunes"/>
    <s v="N"/>
    <n v="26"/>
    <n v="31"/>
    <n v="29"/>
    <n v="25"/>
    <n v="16"/>
    <n v="29"/>
  </r>
  <r>
    <x v="99"/>
    <s v="martes"/>
    <s v="M"/>
    <n v="26"/>
    <n v="33"/>
    <n v="31"/>
    <n v="25"/>
    <n v="22"/>
    <n v="31"/>
  </r>
  <r>
    <x v="99"/>
    <s v="martes"/>
    <s v="V"/>
    <n v="16"/>
    <n v="18"/>
    <n v="16"/>
    <n v="14"/>
    <n v="6"/>
    <n v="16"/>
  </r>
  <r>
    <x v="99"/>
    <s v="martes"/>
    <s v="N"/>
    <n v="30"/>
    <n v="30"/>
    <n v="26"/>
    <n v="25"/>
    <n v="19"/>
    <n v="26"/>
  </r>
  <r>
    <x v="100"/>
    <s v="miércoles"/>
    <s v="M"/>
    <n v="30"/>
    <n v="31"/>
    <n v="28"/>
    <n v="24"/>
    <n v="18"/>
    <n v="28"/>
  </r>
  <r>
    <x v="100"/>
    <s v="miércoles"/>
    <s v="V"/>
    <n v="23"/>
    <n v="20"/>
    <n v="16"/>
    <n v="13"/>
    <n v="5"/>
    <n v="16"/>
  </r>
  <r>
    <x v="100"/>
    <s v="miércoles"/>
    <s v="N"/>
    <n v="32"/>
    <n v="28"/>
    <n v="31"/>
    <n v="27"/>
    <n v="12"/>
    <n v="28"/>
  </r>
  <r>
    <x v="101"/>
    <s v="jueves"/>
    <s v="M"/>
    <n v="25"/>
    <n v="29"/>
    <n v="28"/>
    <n v="25"/>
    <n v="25"/>
    <n v="28"/>
  </r>
  <r>
    <x v="101"/>
    <s v="jueves"/>
    <s v="V"/>
    <n v="23"/>
    <n v="18"/>
    <n v="15"/>
    <n v="13"/>
    <n v="9"/>
    <n v="15"/>
  </r>
  <r>
    <x v="101"/>
    <s v="jueves"/>
    <s v="N"/>
    <n v="28"/>
    <n v="29"/>
    <n v="30"/>
    <n v="27"/>
    <n v="20"/>
    <n v="29"/>
  </r>
  <r>
    <x v="102"/>
    <s v="viernes"/>
    <s v="M"/>
    <n v="27"/>
    <n v="30"/>
    <n v="27"/>
    <n v="25"/>
    <n v="18"/>
    <n v="27"/>
  </r>
  <r>
    <x v="102"/>
    <s v="viernes"/>
    <s v="V"/>
    <n v="25"/>
    <n v="17"/>
    <n v="13"/>
    <n v="12"/>
    <n v="15"/>
    <n v="13"/>
  </r>
  <r>
    <x v="102"/>
    <s v="viernes"/>
    <s v="N"/>
    <n v="31"/>
    <n v="28"/>
    <n v="32"/>
    <n v="27"/>
    <n v="20"/>
    <n v="28"/>
  </r>
  <r>
    <x v="103"/>
    <s v="sábado"/>
    <s v="M"/>
    <n v="31"/>
    <n v="26"/>
    <n v="24"/>
    <n v="25"/>
    <n v="11"/>
    <n v="24"/>
  </r>
  <r>
    <x v="103"/>
    <s v="sábado"/>
    <s v="V"/>
    <n v="27"/>
    <n v="9"/>
    <n v="11"/>
    <n v="9"/>
    <n v="7"/>
    <n v="9"/>
  </r>
  <r>
    <x v="103"/>
    <s v="sábado"/>
    <s v="N"/>
    <s v=""/>
    <s v=""/>
    <s v=""/>
    <s v=""/>
    <s v=""/>
    <s v=""/>
  </r>
  <r>
    <x v="104"/>
    <s v="domingo"/>
    <s v="M"/>
    <n v="32"/>
    <n v="7"/>
    <n v="2"/>
    <n v="6"/>
    <n v="1"/>
    <n v="2"/>
  </r>
  <r>
    <x v="104"/>
    <s v="domingo"/>
    <s v="V"/>
    <s v=""/>
    <s v=""/>
    <s v=""/>
    <s v=""/>
    <s v=""/>
    <s v=""/>
  </r>
  <r>
    <x v="104"/>
    <s v="domingo"/>
    <s v="N"/>
    <n v="26"/>
    <n v="32"/>
    <n v="28"/>
    <n v="27"/>
    <n v="21"/>
    <n v="28"/>
  </r>
  <r>
    <x v="105"/>
    <s v="lunes"/>
    <s v="M"/>
    <n v="26"/>
    <n v="30"/>
    <n v="28"/>
    <n v="25"/>
    <n v="16"/>
    <n v="28"/>
  </r>
  <r>
    <x v="105"/>
    <s v="lunes"/>
    <s v="V"/>
    <n v="23"/>
    <n v="19"/>
    <n v="15"/>
    <n v="14"/>
    <n v="7"/>
    <n v="15"/>
  </r>
  <r>
    <x v="105"/>
    <s v="lunes"/>
    <s v="N"/>
    <n v="31"/>
    <n v="32"/>
    <n v="28"/>
    <n v="27"/>
    <n v="19"/>
    <n v="28"/>
  </r>
  <r>
    <x v="106"/>
    <s v="martes"/>
    <s v="M"/>
    <n v="29"/>
    <n v="27"/>
    <n v="25"/>
    <n v="25"/>
    <n v="21"/>
    <n v="25"/>
  </r>
  <r>
    <x v="106"/>
    <s v="martes"/>
    <s v="V"/>
    <n v="21"/>
    <n v="15"/>
    <n v="14"/>
    <n v="13"/>
    <n v="4"/>
    <n v="14"/>
  </r>
  <r>
    <x v="106"/>
    <s v="martes"/>
    <s v="N"/>
    <s v=""/>
    <s v=""/>
    <s v=""/>
    <s v=""/>
    <s v=""/>
    <s v=""/>
  </r>
  <r>
    <x v="107"/>
    <s v="miércoles"/>
    <s v="M"/>
    <s v=""/>
    <s v=""/>
    <s v=""/>
    <s v=""/>
    <s v=""/>
    <s v=""/>
  </r>
  <r>
    <x v="107"/>
    <s v="miércoles"/>
    <s v="V"/>
    <s v=""/>
    <s v=""/>
    <s v=""/>
    <s v=""/>
    <s v=""/>
    <s v=""/>
  </r>
  <r>
    <x v="107"/>
    <s v="miércoles"/>
    <s v="N"/>
    <n v="31"/>
    <n v="29"/>
    <n v="31"/>
    <n v="26"/>
    <n v="22"/>
    <n v="29"/>
  </r>
  <r>
    <x v="108"/>
    <s v="jueves"/>
    <s v="M"/>
    <n v="29"/>
    <n v="29"/>
    <n v="26"/>
    <n v="23"/>
    <n v="23"/>
    <n v="26"/>
  </r>
  <r>
    <x v="108"/>
    <s v="jueves"/>
    <s v="V"/>
    <n v="25"/>
    <n v="17"/>
    <n v="15"/>
    <n v="15"/>
    <n v="8"/>
    <n v="15"/>
  </r>
  <r>
    <x v="108"/>
    <s v="jueves"/>
    <s v="N"/>
    <n v="33"/>
    <n v="31"/>
    <n v="29"/>
    <n v="27"/>
    <n v="18"/>
    <n v="29"/>
  </r>
  <r>
    <x v="109"/>
    <s v="viernes"/>
    <s v="M"/>
    <n v="28"/>
    <n v="31"/>
    <n v="27"/>
    <n v="23"/>
    <n v="23"/>
    <n v="27"/>
  </r>
  <r>
    <x v="109"/>
    <s v="viernes"/>
    <s v="V"/>
    <n v="27"/>
    <n v="18"/>
    <n v="16"/>
    <n v="14"/>
    <n v="9"/>
    <n v="16"/>
  </r>
  <r>
    <x v="109"/>
    <s v="viernes"/>
    <s v="N"/>
    <n v="30"/>
    <n v="32"/>
    <n v="32"/>
    <n v="27"/>
    <n v="19"/>
    <n v="32"/>
  </r>
  <r>
    <x v="110"/>
    <s v="sábado"/>
    <s v="M"/>
    <n v="29"/>
    <n v="25"/>
    <n v="22"/>
    <n v="21"/>
    <n v="21"/>
    <n v="22"/>
  </r>
  <r>
    <x v="110"/>
    <s v="sábado"/>
    <s v="V"/>
    <n v="19"/>
    <n v="14"/>
    <n v="12"/>
    <n v="12"/>
    <n v="5"/>
    <n v="12"/>
  </r>
  <r>
    <x v="110"/>
    <s v="sábado"/>
    <s v="N"/>
    <s v=""/>
    <s v=""/>
    <s v=""/>
    <s v=""/>
    <s v=""/>
    <s v=""/>
  </r>
  <r>
    <x v="111"/>
    <s v="domingo"/>
    <s v="M"/>
    <n v="27"/>
    <n v="8"/>
    <n v="4"/>
    <n v="3"/>
    <n v="3"/>
    <n v="4"/>
  </r>
  <r>
    <x v="111"/>
    <s v="domingo"/>
    <s v="V"/>
    <s v=""/>
    <s v=""/>
    <s v=""/>
    <s v=""/>
    <s v=""/>
    <s v=""/>
  </r>
  <r>
    <x v="111"/>
    <s v="domingo"/>
    <s v="N"/>
    <n v="31"/>
    <n v="22"/>
    <n v="23"/>
    <n v="19"/>
    <n v="18"/>
    <n v="22"/>
  </r>
  <r>
    <x v="112"/>
    <s v="lunes"/>
    <s v="M"/>
    <n v="28"/>
    <n v="31"/>
    <n v="26"/>
    <n v="24"/>
    <n v="25"/>
    <n v="26"/>
  </r>
  <r>
    <x v="112"/>
    <s v="lunes"/>
    <s v="V"/>
    <n v="20"/>
    <n v="20"/>
    <n v="16"/>
    <n v="14"/>
    <n v="7"/>
    <n v="16"/>
  </r>
  <r>
    <x v="112"/>
    <s v="lunes"/>
    <s v="N"/>
    <n v="32"/>
    <n v="27"/>
    <n v="25"/>
    <n v="22"/>
    <n v="10"/>
    <n v="25"/>
  </r>
  <r>
    <x v="113"/>
    <s v="martes"/>
    <s v="M"/>
    <n v="33"/>
    <n v="27"/>
    <n v="25"/>
    <n v="27"/>
    <n v="21"/>
    <n v="25"/>
  </r>
  <r>
    <x v="113"/>
    <s v="martes"/>
    <s v="V"/>
    <n v="27"/>
    <n v="17"/>
    <n v="15"/>
    <n v="13"/>
    <n v="10"/>
    <n v="15"/>
  </r>
  <r>
    <x v="113"/>
    <s v="martes"/>
    <s v="N"/>
    <n v="30"/>
    <n v="25"/>
    <n v="22"/>
    <n v="21"/>
    <n v="14"/>
    <n v="22"/>
  </r>
  <r>
    <x v="114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8">
  <r>
    <x v="0"/>
    <x v="0"/>
    <s v="A"/>
    <n v="694"/>
    <n v="970"/>
    <n v="385"/>
    <n v="585"/>
    <n v="369"/>
    <n v="16"/>
  </r>
  <r>
    <x v="0"/>
    <x v="0"/>
    <s v="B"/>
    <n v="48"/>
    <n v="84"/>
    <n v="84"/>
    <n v="0"/>
    <n v="84"/>
    <n v="0"/>
  </r>
  <r>
    <x v="0"/>
    <x v="0"/>
    <s v="C"/>
    <n v="697"/>
    <n v="1190"/>
    <n v="1139"/>
    <n v="51"/>
    <n v="1121"/>
    <n v="18"/>
  </r>
  <r>
    <x v="0"/>
    <x v="0"/>
    <s v="CH"/>
    <n v="951"/>
    <n v="824"/>
    <n v="749"/>
    <n v="75"/>
    <n v="740"/>
    <n v="9"/>
  </r>
  <r>
    <x v="0"/>
    <x v="0"/>
    <s v="D"/>
    <n v="452"/>
    <n v="2163"/>
    <n v="800"/>
    <n v="1363"/>
    <n v="709"/>
    <n v="91"/>
  </r>
  <r>
    <x v="0"/>
    <x v="0"/>
    <s v="E"/>
    <n v="896"/>
    <n v="1057"/>
    <n v="878"/>
    <n v="179"/>
    <n v="853"/>
    <n v="25"/>
  </r>
  <r>
    <x v="0"/>
    <x v="0"/>
    <s v="F"/>
    <n v="1099"/>
    <n v="243"/>
    <n v="7"/>
    <n v="236"/>
    <n v="5"/>
    <n v="2"/>
  </r>
  <r>
    <x v="0"/>
    <x v="0"/>
    <s v="G"/>
    <n v="663"/>
    <n v="1195"/>
    <n v="389"/>
    <n v="806"/>
    <n v="364"/>
    <n v="25"/>
  </r>
  <r>
    <x v="1"/>
    <x v="1"/>
    <s v="A"/>
    <n v="693"/>
    <n v="1826"/>
    <n v="849"/>
    <n v="977"/>
    <n v="797"/>
    <n v="52"/>
  </r>
  <r>
    <x v="1"/>
    <x v="1"/>
    <s v="B"/>
    <n v="253"/>
    <n v="255"/>
    <n v="255"/>
    <n v="0"/>
    <n v="255"/>
    <n v="0"/>
  </r>
  <r>
    <x v="1"/>
    <x v="1"/>
    <s v="C"/>
    <n v="945"/>
    <n v="677"/>
    <n v="677"/>
    <n v="0"/>
    <n v="669"/>
    <n v="8"/>
  </r>
  <r>
    <x v="1"/>
    <x v="1"/>
    <s v="CH"/>
    <n v="832"/>
    <n v="1151"/>
    <n v="1128"/>
    <n v="23"/>
    <n v="1113"/>
    <n v="15"/>
  </r>
  <r>
    <x v="1"/>
    <x v="1"/>
    <s v="D"/>
    <n v="935"/>
    <n v="859"/>
    <n v="478"/>
    <n v="381"/>
    <n v="445"/>
    <n v="33"/>
  </r>
  <r>
    <x v="1"/>
    <x v="1"/>
    <s v="E"/>
    <n v="474"/>
    <n v="402"/>
    <n v="371"/>
    <n v="31"/>
    <n v="355"/>
    <n v="16"/>
  </r>
  <r>
    <x v="1"/>
    <x v="1"/>
    <s v="F"/>
    <n v="286"/>
    <n v="1285"/>
    <n v="666"/>
    <n v="619"/>
    <n v="615"/>
    <n v="51"/>
  </r>
  <r>
    <x v="1"/>
    <x v="1"/>
    <s v="G"/>
    <n v="737"/>
    <n v="1142"/>
    <n v="634"/>
    <n v="508"/>
    <n v="589"/>
    <n v="45"/>
  </r>
  <r>
    <x v="2"/>
    <x v="2"/>
    <s v="A"/>
    <n v="694"/>
    <n v="1047"/>
    <n v="548"/>
    <n v="499"/>
    <n v="522"/>
    <n v="26"/>
  </r>
  <r>
    <x v="2"/>
    <x v="2"/>
    <s v="B"/>
    <n v="48"/>
    <n v="48"/>
    <n v="48"/>
    <n v="0"/>
    <n v="48"/>
    <n v="0"/>
  </r>
  <r>
    <x v="2"/>
    <x v="2"/>
    <s v="C"/>
    <n v="697"/>
    <n v="1172"/>
    <n v="1092"/>
    <n v="80"/>
    <n v="1083"/>
    <n v="9"/>
  </r>
  <r>
    <x v="2"/>
    <x v="2"/>
    <s v="CH"/>
    <n v="951"/>
    <n v="663"/>
    <n v="663"/>
    <n v="0"/>
    <n v="654"/>
    <n v="9"/>
  </r>
  <r>
    <x v="2"/>
    <x v="2"/>
    <s v="D"/>
    <n v="452"/>
    <n v="973"/>
    <n v="740"/>
    <n v="233"/>
    <n v="663"/>
    <n v="77"/>
  </r>
  <r>
    <x v="2"/>
    <x v="2"/>
    <s v="E"/>
    <n v="926"/>
    <n v="1455"/>
    <n v="967"/>
    <n v="488"/>
    <n v="931"/>
    <n v="36"/>
  </r>
  <r>
    <x v="2"/>
    <x v="2"/>
    <s v="F"/>
    <n v="1099"/>
    <n v="815"/>
    <n v="549"/>
    <n v="266"/>
    <n v="505"/>
    <n v="44"/>
  </r>
  <r>
    <x v="2"/>
    <x v="2"/>
    <s v="G"/>
    <n v="663"/>
    <n v="377"/>
    <n v="202"/>
    <n v="175"/>
    <n v="183"/>
    <n v="19"/>
  </r>
  <r>
    <x v="3"/>
    <x v="3"/>
    <s v="A"/>
    <n v="693"/>
    <n v="1154"/>
    <n v="796"/>
    <n v="358"/>
    <n v="746"/>
    <n v="50"/>
  </r>
  <r>
    <x v="3"/>
    <x v="3"/>
    <s v="B"/>
    <n v="253"/>
    <n v="254"/>
    <n v="242"/>
    <n v="12"/>
    <n v="240"/>
    <n v="2"/>
  </r>
  <r>
    <x v="3"/>
    <x v="3"/>
    <s v="C"/>
    <n v="945"/>
    <n v="190"/>
    <n v="121"/>
    <n v="69"/>
    <n v="115"/>
    <n v="6"/>
  </r>
  <r>
    <x v="3"/>
    <x v="3"/>
    <s v="CH"/>
    <n v="832"/>
    <n v="1155"/>
    <n v="1148"/>
    <n v="7"/>
    <n v="1128"/>
    <n v="20"/>
  </r>
  <r>
    <x v="3"/>
    <x v="3"/>
    <s v="D"/>
    <n v="935"/>
    <n v="1014"/>
    <n v="743"/>
    <n v="271"/>
    <n v="687"/>
    <n v="56"/>
  </r>
  <r>
    <x v="3"/>
    <x v="3"/>
    <s v="E"/>
    <n v="480"/>
    <n v="465"/>
    <n v="334"/>
    <n v="131"/>
    <n v="292"/>
    <n v="42"/>
  </r>
  <r>
    <x v="3"/>
    <x v="3"/>
    <s v="F"/>
    <n v="286"/>
    <n v="882"/>
    <n v="693"/>
    <n v="189"/>
    <n v="662"/>
    <n v="31"/>
  </r>
  <r>
    <x v="3"/>
    <x v="3"/>
    <s v="G"/>
    <n v="737"/>
    <n v="1436"/>
    <n v="1033"/>
    <n v="403"/>
    <n v="963"/>
    <n v="70"/>
  </r>
  <r>
    <x v="4"/>
    <x v="4"/>
    <s v="A"/>
    <n v="694"/>
    <n v="224"/>
    <n v="136"/>
    <n v="88"/>
    <n v="119"/>
    <n v="17"/>
  </r>
  <r>
    <x v="4"/>
    <x v="4"/>
    <s v="B"/>
    <n v="48"/>
    <n v="61"/>
    <n v="61"/>
    <n v="0"/>
    <n v="61"/>
    <n v="0"/>
  </r>
  <r>
    <x v="4"/>
    <x v="4"/>
    <s v="C"/>
    <n v="697"/>
    <n v="1141"/>
    <n v="1114"/>
    <n v="27"/>
    <n v="1088"/>
    <n v="26"/>
  </r>
  <r>
    <x v="4"/>
    <x v="4"/>
    <s v="CH"/>
    <n v="951"/>
    <n v="648"/>
    <n v="645"/>
    <n v="3"/>
    <n v="633"/>
    <n v="12"/>
  </r>
  <r>
    <x v="4"/>
    <x v="4"/>
    <s v="D"/>
    <n v="452"/>
    <n v="209"/>
    <n v="201"/>
    <n v="8"/>
    <n v="175"/>
    <n v="26"/>
  </r>
  <r>
    <x v="4"/>
    <x v="4"/>
    <s v="E"/>
    <n v="890"/>
    <n v="851"/>
    <n v="738"/>
    <n v="113"/>
    <n v="729"/>
    <n v="9"/>
  </r>
  <r>
    <x v="4"/>
    <x v="4"/>
    <s v="F"/>
    <n v="1099"/>
    <n v="337"/>
    <n v="287"/>
    <n v="50"/>
    <n v="276"/>
    <n v="11"/>
  </r>
  <r>
    <x v="4"/>
    <x v="4"/>
    <s v="G"/>
    <n v="663"/>
    <n v="80"/>
    <n v="80"/>
    <n v="0"/>
    <n v="76"/>
    <n v="4"/>
  </r>
  <r>
    <x v="5"/>
    <x v="5"/>
    <s v="A"/>
    <n v="693"/>
    <n v="865"/>
    <n v="426"/>
    <n v="439"/>
    <n v="377"/>
    <n v="49"/>
  </r>
  <r>
    <x v="5"/>
    <x v="5"/>
    <s v="C"/>
    <n v="0"/>
    <n v="247"/>
    <n v="146"/>
    <n v="101"/>
    <n v="134"/>
    <n v="12"/>
  </r>
  <r>
    <x v="5"/>
    <x v="5"/>
    <s v="D"/>
    <n v="935"/>
    <n v="730"/>
    <n v="615"/>
    <n v="115"/>
    <n v="551"/>
    <n v="64"/>
  </r>
  <r>
    <x v="5"/>
    <x v="5"/>
    <s v="E"/>
    <n v="288"/>
    <n v="465"/>
    <n v="341"/>
    <n v="124"/>
    <n v="317"/>
    <n v="24"/>
  </r>
  <r>
    <x v="5"/>
    <x v="5"/>
    <s v="F"/>
    <n v="286"/>
    <n v="853"/>
    <n v="450"/>
    <n v="403"/>
    <n v="403"/>
    <n v="47"/>
  </r>
  <r>
    <x v="5"/>
    <x v="5"/>
    <s v="G"/>
    <n v="737"/>
    <n v="428"/>
    <n v="302"/>
    <n v="126"/>
    <n v="272"/>
    <n v="30"/>
  </r>
  <r>
    <x v="6"/>
    <x v="6"/>
    <s v="A"/>
    <n v="138"/>
    <n v="697"/>
    <n v="512"/>
    <n v="185"/>
    <n v="478"/>
    <n v="34"/>
  </r>
  <r>
    <x v="6"/>
    <x v="6"/>
    <s v="B"/>
    <n v="301"/>
    <n v="255"/>
    <n v="243"/>
    <n v="12"/>
    <n v="243"/>
    <n v="0"/>
  </r>
  <r>
    <x v="6"/>
    <x v="6"/>
    <s v="C"/>
    <n v="945"/>
    <n v="909"/>
    <n v="720"/>
    <n v="189"/>
    <n v="704"/>
    <n v="16"/>
  </r>
  <r>
    <x v="6"/>
    <x v="6"/>
    <s v="CH"/>
    <n v="1783"/>
    <n v="1155"/>
    <n v="971"/>
    <n v="184"/>
    <n v="954"/>
    <n v="17"/>
  </r>
  <r>
    <x v="6"/>
    <x v="6"/>
    <s v="D"/>
    <n v="452"/>
    <n v="306"/>
    <n v="135"/>
    <n v="171"/>
    <n v="132"/>
    <n v="3"/>
  </r>
  <r>
    <x v="6"/>
    <x v="6"/>
    <s v="E"/>
    <n v="450"/>
    <n v="582"/>
    <n v="291"/>
    <n v="291"/>
    <n v="275"/>
    <n v="16"/>
  </r>
  <r>
    <x v="6"/>
    <x v="6"/>
    <s v="F"/>
    <n v="0"/>
    <n v="610"/>
    <n v="444"/>
    <n v="166"/>
    <n v="384"/>
    <n v="60"/>
  </r>
  <r>
    <x v="6"/>
    <x v="6"/>
    <s v="G"/>
    <n v="0"/>
    <n v="189"/>
    <n v="94"/>
    <n v="95"/>
    <n v="88"/>
    <n v="6"/>
  </r>
  <r>
    <x v="7"/>
    <x v="7"/>
    <s v="A"/>
    <n v="697"/>
    <n v="1071"/>
    <n v="542"/>
    <n v="529"/>
    <n v="487"/>
    <n v="55"/>
  </r>
  <r>
    <x v="7"/>
    <x v="7"/>
    <s v="B"/>
    <n v="48"/>
    <n v="60"/>
    <n v="48"/>
    <n v="12"/>
    <n v="48"/>
    <n v="0"/>
  </r>
  <r>
    <x v="7"/>
    <x v="7"/>
    <s v="C"/>
    <n v="697"/>
    <n v="878"/>
    <n v="752"/>
    <n v="126"/>
    <n v="737"/>
    <n v="15"/>
  </r>
  <r>
    <x v="7"/>
    <x v="7"/>
    <s v="CH"/>
    <n v="832"/>
    <n v="938"/>
    <n v="824"/>
    <n v="114"/>
    <n v="812"/>
    <n v="12"/>
  </r>
  <r>
    <x v="7"/>
    <x v="7"/>
    <s v="D"/>
    <n v="352"/>
    <n v="1278"/>
    <n v="613"/>
    <n v="665"/>
    <n v="554"/>
    <n v="59"/>
  </r>
  <r>
    <x v="7"/>
    <x v="7"/>
    <s v="E"/>
    <n v="890"/>
    <n v="1302"/>
    <n v="1010"/>
    <n v="292"/>
    <n v="987"/>
    <n v="23"/>
  </r>
  <r>
    <x v="7"/>
    <x v="7"/>
    <s v="F"/>
    <n v="1099"/>
    <n v="808"/>
    <n v="457"/>
    <n v="351"/>
    <n v="403"/>
    <n v="54"/>
  </r>
  <r>
    <x v="7"/>
    <x v="7"/>
    <s v="G"/>
    <n v="663"/>
    <n v="794"/>
    <n v="477"/>
    <n v="317"/>
    <n v="449"/>
    <n v="28"/>
  </r>
  <r>
    <x v="8"/>
    <x v="8"/>
    <s v="A"/>
    <n v="690"/>
    <n v="921"/>
    <n v="459"/>
    <n v="462"/>
    <n v="422"/>
    <n v="37"/>
  </r>
  <r>
    <x v="8"/>
    <x v="8"/>
    <s v="B"/>
    <n v="253"/>
    <n v="291"/>
    <n v="241"/>
    <n v="50"/>
    <n v="239"/>
    <n v="2"/>
  </r>
  <r>
    <x v="8"/>
    <x v="8"/>
    <s v="C"/>
    <n v="945"/>
    <n v="1125"/>
    <n v="1032"/>
    <n v="93"/>
    <n v="948"/>
    <n v="84"/>
  </r>
  <r>
    <x v="8"/>
    <x v="8"/>
    <s v="CH"/>
    <n v="951"/>
    <n v="1426"/>
    <n v="1402"/>
    <n v="24"/>
    <n v="1386"/>
    <n v="16"/>
  </r>
  <r>
    <x v="8"/>
    <x v="8"/>
    <s v="D"/>
    <n v="1035"/>
    <n v="1405"/>
    <n v="854"/>
    <n v="551"/>
    <n v="771"/>
    <n v="83"/>
  </r>
  <r>
    <x v="8"/>
    <x v="8"/>
    <s v="E"/>
    <n v="510"/>
    <n v="659"/>
    <n v="390"/>
    <n v="269"/>
    <n v="368"/>
    <n v="22"/>
  </r>
  <r>
    <x v="8"/>
    <x v="8"/>
    <s v="F"/>
    <n v="286"/>
    <n v="1217"/>
    <n v="707"/>
    <n v="510"/>
    <n v="651"/>
    <n v="56"/>
  </r>
  <r>
    <x v="8"/>
    <x v="8"/>
    <s v="G"/>
    <n v="737"/>
    <n v="905"/>
    <n v="596"/>
    <n v="309"/>
    <n v="555"/>
    <n v="41"/>
  </r>
  <r>
    <x v="9"/>
    <x v="9"/>
    <s v="A"/>
    <n v="697"/>
    <n v="1622"/>
    <n v="1012"/>
    <n v="610"/>
    <n v="943"/>
    <n v="69"/>
  </r>
  <r>
    <x v="9"/>
    <x v="9"/>
    <s v="B"/>
    <n v="48"/>
    <n v="75"/>
    <n v="75"/>
    <n v="0"/>
    <n v="74"/>
    <n v="1"/>
  </r>
  <r>
    <x v="9"/>
    <x v="9"/>
    <s v="C"/>
    <n v="697"/>
    <n v="970"/>
    <n v="970"/>
    <n v="0"/>
    <n v="956"/>
    <n v="14"/>
  </r>
  <r>
    <x v="9"/>
    <x v="9"/>
    <s v="CH"/>
    <n v="832"/>
    <n v="670"/>
    <n v="662"/>
    <n v="8"/>
    <n v="651"/>
    <n v="11"/>
  </r>
  <r>
    <x v="9"/>
    <x v="9"/>
    <s v="D"/>
    <n v="352"/>
    <n v="1047"/>
    <n v="730"/>
    <n v="317"/>
    <n v="653"/>
    <n v="77"/>
  </r>
  <r>
    <x v="9"/>
    <x v="9"/>
    <s v="E"/>
    <n v="896"/>
    <n v="1365"/>
    <n v="1190"/>
    <n v="175"/>
    <n v="1141"/>
    <n v="49"/>
  </r>
  <r>
    <x v="9"/>
    <x v="9"/>
    <s v="F"/>
    <n v="1099"/>
    <n v="1148"/>
    <n v="589"/>
    <n v="559"/>
    <n v="540"/>
    <n v="49"/>
  </r>
  <r>
    <x v="9"/>
    <x v="9"/>
    <s v="G"/>
    <n v="663"/>
    <n v="703"/>
    <n v="515"/>
    <n v="188"/>
    <n v="483"/>
    <n v="32"/>
  </r>
  <r>
    <x v="10"/>
    <x v="10"/>
    <s v="A"/>
    <n v="690"/>
    <n v="627"/>
    <n v="497"/>
    <n v="130"/>
    <n v="473"/>
    <n v="24"/>
  </r>
  <r>
    <x v="10"/>
    <x v="10"/>
    <s v="B"/>
    <n v="253"/>
    <n v="254"/>
    <n v="254"/>
    <n v="0"/>
    <n v="253"/>
    <n v="1"/>
  </r>
  <r>
    <x v="10"/>
    <x v="10"/>
    <s v="C"/>
    <n v="945"/>
    <n v="741"/>
    <n v="701"/>
    <n v="40"/>
    <n v="689"/>
    <n v="12"/>
  </r>
  <r>
    <x v="10"/>
    <x v="10"/>
    <s v="CH"/>
    <n v="951"/>
    <n v="1158"/>
    <n v="1139"/>
    <n v="19"/>
    <n v="1124"/>
    <n v="15"/>
  </r>
  <r>
    <x v="10"/>
    <x v="10"/>
    <s v="D"/>
    <n v="1035"/>
    <n v="957"/>
    <n v="901"/>
    <n v="56"/>
    <n v="791"/>
    <n v="110"/>
  </r>
  <r>
    <x v="10"/>
    <x v="10"/>
    <s v="E"/>
    <n v="474"/>
    <n v="904"/>
    <n v="752"/>
    <n v="152"/>
    <n v="711"/>
    <n v="41"/>
  </r>
  <r>
    <x v="10"/>
    <x v="10"/>
    <s v="F"/>
    <n v="286"/>
    <n v="623"/>
    <n v="469"/>
    <n v="154"/>
    <n v="435"/>
    <n v="34"/>
  </r>
  <r>
    <x v="10"/>
    <x v="10"/>
    <s v="G"/>
    <n v="737"/>
    <n v="1074"/>
    <n v="761"/>
    <n v="313"/>
    <n v="709"/>
    <n v="52"/>
  </r>
  <r>
    <x v="11"/>
    <x v="11"/>
    <s v="A"/>
    <n v="697"/>
    <n v="1198"/>
    <n v="790"/>
    <n v="408"/>
    <n v="736"/>
    <n v="54"/>
  </r>
  <r>
    <x v="11"/>
    <x v="11"/>
    <s v="B"/>
    <n v="48"/>
    <n v="163"/>
    <n v="162"/>
    <n v="1"/>
    <n v="157"/>
    <n v="5"/>
  </r>
  <r>
    <x v="11"/>
    <x v="11"/>
    <s v="C"/>
    <n v="697"/>
    <n v="1310"/>
    <n v="1210"/>
    <n v="100"/>
    <n v="1065"/>
    <n v="145"/>
  </r>
  <r>
    <x v="11"/>
    <x v="11"/>
    <s v="CH"/>
    <n v="832"/>
    <n v="683"/>
    <n v="683"/>
    <n v="0"/>
    <n v="678"/>
    <n v="5"/>
  </r>
  <r>
    <x v="11"/>
    <x v="11"/>
    <s v="D"/>
    <n v="352"/>
    <n v="852"/>
    <n v="565"/>
    <n v="287"/>
    <n v="531"/>
    <n v="34"/>
  </r>
  <r>
    <x v="11"/>
    <x v="11"/>
    <s v="E"/>
    <n v="926"/>
    <n v="1021"/>
    <n v="784"/>
    <n v="237"/>
    <n v="751"/>
    <n v="33"/>
  </r>
  <r>
    <x v="11"/>
    <x v="11"/>
    <s v="F"/>
    <n v="1099"/>
    <n v="1568"/>
    <n v="809"/>
    <n v="759"/>
    <n v="754"/>
    <n v="55"/>
  </r>
  <r>
    <x v="11"/>
    <x v="11"/>
    <s v="G"/>
    <n v="663"/>
    <n v="981"/>
    <n v="555"/>
    <n v="426"/>
    <n v="519"/>
    <n v="36"/>
  </r>
  <r>
    <x v="12"/>
    <x v="12"/>
    <s v="A"/>
    <n v="690"/>
    <n v="896"/>
    <n v="477"/>
    <n v="419"/>
    <n v="453"/>
    <n v="24"/>
  </r>
  <r>
    <x v="12"/>
    <x v="12"/>
    <s v="C"/>
    <n v="0"/>
    <n v="96"/>
    <n v="76"/>
    <n v="20"/>
    <n v="70"/>
    <n v="6"/>
  </r>
  <r>
    <x v="12"/>
    <x v="12"/>
    <s v="D"/>
    <n v="935"/>
    <n v="1321"/>
    <n v="815"/>
    <n v="506"/>
    <n v="739"/>
    <n v="76"/>
  </r>
  <r>
    <x v="12"/>
    <x v="12"/>
    <s v="E"/>
    <n v="288"/>
    <n v="750"/>
    <n v="372"/>
    <n v="378"/>
    <n v="345"/>
    <n v="27"/>
  </r>
  <r>
    <x v="12"/>
    <x v="12"/>
    <s v="F"/>
    <n v="286"/>
    <n v="1049"/>
    <n v="623"/>
    <n v="426"/>
    <n v="559"/>
    <n v="64"/>
  </r>
  <r>
    <x v="12"/>
    <x v="12"/>
    <s v="G"/>
    <n v="737"/>
    <n v="545"/>
    <n v="484"/>
    <n v="61"/>
    <n v="457"/>
    <n v="27"/>
  </r>
  <r>
    <x v="13"/>
    <x v="13"/>
    <s v="A"/>
    <n v="141"/>
    <n v="442"/>
    <n v="369"/>
    <n v="73"/>
    <n v="328"/>
    <n v="41"/>
  </r>
  <r>
    <x v="13"/>
    <x v="13"/>
    <s v="B"/>
    <n v="301"/>
    <n v="271"/>
    <n v="196"/>
    <n v="75"/>
    <n v="176"/>
    <n v="20"/>
  </r>
  <r>
    <x v="13"/>
    <x v="13"/>
    <s v="C"/>
    <n v="945"/>
    <n v="655"/>
    <n v="554"/>
    <n v="101"/>
    <n v="470"/>
    <n v="84"/>
  </r>
  <r>
    <x v="13"/>
    <x v="13"/>
    <s v="CH"/>
    <n v="1783"/>
    <n v="1155"/>
    <n v="1074"/>
    <n v="81"/>
    <n v="871"/>
    <n v="203"/>
  </r>
  <r>
    <x v="13"/>
    <x v="13"/>
    <s v="D"/>
    <n v="452"/>
    <n v="270"/>
    <n v="268"/>
    <n v="2"/>
    <n v="239"/>
    <n v="29"/>
  </r>
  <r>
    <x v="13"/>
    <x v="13"/>
    <s v="E"/>
    <n v="414"/>
    <n v="641"/>
    <n v="490"/>
    <n v="151"/>
    <n v="402"/>
    <n v="88"/>
  </r>
  <r>
    <x v="13"/>
    <x v="13"/>
    <s v="F"/>
    <n v="0"/>
    <n v="136"/>
    <n v="125"/>
    <n v="11"/>
    <n v="113"/>
    <n v="12"/>
  </r>
  <r>
    <x v="13"/>
    <x v="13"/>
    <s v="G"/>
    <n v="0"/>
    <n v="410"/>
    <n v="367"/>
    <n v="43"/>
    <n v="332"/>
    <n v="35"/>
  </r>
  <r>
    <x v="14"/>
    <x v="14"/>
    <s v="A"/>
    <n v="694"/>
    <n v="578"/>
    <n v="442"/>
    <n v="136"/>
    <n v="420"/>
    <n v="22"/>
  </r>
  <r>
    <x v="14"/>
    <x v="14"/>
    <s v="B"/>
    <n v="48"/>
    <n v="130"/>
    <n v="130"/>
    <n v="0"/>
    <n v="127"/>
    <n v="3"/>
  </r>
  <r>
    <x v="14"/>
    <x v="14"/>
    <s v="C"/>
    <n v="697"/>
    <n v="1236"/>
    <n v="1018"/>
    <n v="218"/>
    <n v="984"/>
    <n v="34"/>
  </r>
  <r>
    <x v="14"/>
    <x v="14"/>
    <s v="CH"/>
    <n v="951"/>
    <n v="863"/>
    <n v="851"/>
    <n v="12"/>
    <n v="832"/>
    <n v="19"/>
  </r>
  <r>
    <x v="14"/>
    <x v="14"/>
    <s v="D"/>
    <n v="452"/>
    <n v="225"/>
    <n v="222"/>
    <n v="3"/>
    <n v="202"/>
    <n v="20"/>
  </r>
  <r>
    <x v="14"/>
    <x v="14"/>
    <s v="E"/>
    <n v="926"/>
    <n v="724"/>
    <n v="591"/>
    <n v="133"/>
    <n v="585"/>
    <n v="6"/>
  </r>
  <r>
    <x v="14"/>
    <x v="14"/>
    <s v="F"/>
    <n v="1099"/>
    <n v="583"/>
    <n v="463"/>
    <n v="120"/>
    <n v="416"/>
    <n v="47"/>
  </r>
  <r>
    <x v="14"/>
    <x v="14"/>
    <s v="G"/>
    <n v="663"/>
    <n v="222"/>
    <n v="166"/>
    <n v="56"/>
    <n v="158"/>
    <n v="8"/>
  </r>
  <r>
    <x v="15"/>
    <x v="15"/>
    <s v="A"/>
    <n v="693"/>
    <n v="818"/>
    <n v="488"/>
    <n v="330"/>
    <n v="444"/>
    <n v="44"/>
  </r>
  <r>
    <x v="15"/>
    <x v="15"/>
    <s v="B"/>
    <n v="253"/>
    <n v="145"/>
    <n v="145"/>
    <n v="0"/>
    <n v="143"/>
    <n v="2"/>
  </r>
  <r>
    <x v="15"/>
    <x v="15"/>
    <s v="C"/>
    <n v="945"/>
    <n v="718"/>
    <n v="635"/>
    <n v="83"/>
    <n v="622"/>
    <n v="13"/>
  </r>
  <r>
    <x v="15"/>
    <x v="15"/>
    <s v="CH"/>
    <n v="832"/>
    <n v="1198"/>
    <n v="1167"/>
    <n v="31"/>
    <n v="1155"/>
    <n v="12"/>
  </r>
  <r>
    <x v="15"/>
    <x v="15"/>
    <s v="D"/>
    <n v="935"/>
    <n v="724"/>
    <n v="433"/>
    <n v="291"/>
    <n v="404"/>
    <n v="29"/>
  </r>
  <r>
    <x v="15"/>
    <x v="15"/>
    <s v="E"/>
    <n v="480"/>
    <n v="1432"/>
    <n v="752"/>
    <n v="680"/>
    <n v="723"/>
    <n v="29"/>
  </r>
  <r>
    <x v="15"/>
    <x v="15"/>
    <s v="F"/>
    <n v="286"/>
    <n v="967"/>
    <n v="597"/>
    <n v="370"/>
    <n v="531"/>
    <n v="66"/>
  </r>
  <r>
    <x v="15"/>
    <x v="15"/>
    <s v="G"/>
    <n v="737"/>
    <n v="1339"/>
    <n v="721"/>
    <n v="618"/>
    <n v="657"/>
    <n v="64"/>
  </r>
  <r>
    <x v="16"/>
    <x v="16"/>
    <s v="A"/>
    <n v="694"/>
    <n v="1467"/>
    <n v="693"/>
    <n v="774"/>
    <n v="644"/>
    <n v="49"/>
  </r>
  <r>
    <x v="16"/>
    <x v="16"/>
    <s v="B"/>
    <n v="48"/>
    <n v="157"/>
    <n v="157"/>
    <n v="0"/>
    <n v="157"/>
    <n v="0"/>
  </r>
  <r>
    <x v="16"/>
    <x v="16"/>
    <s v="C"/>
    <n v="697"/>
    <n v="1208"/>
    <n v="1030"/>
    <n v="178"/>
    <n v="1005"/>
    <n v="25"/>
  </r>
  <r>
    <x v="16"/>
    <x v="16"/>
    <s v="CH"/>
    <n v="951"/>
    <n v="655"/>
    <n v="655"/>
    <n v="0"/>
    <n v="652"/>
    <n v="3"/>
  </r>
  <r>
    <x v="16"/>
    <x v="16"/>
    <s v="D"/>
    <n v="452"/>
    <n v="976"/>
    <n v="536"/>
    <n v="440"/>
    <n v="491"/>
    <n v="45"/>
  </r>
  <r>
    <x v="16"/>
    <x v="16"/>
    <s v="E"/>
    <n v="890"/>
    <n v="1034"/>
    <n v="853"/>
    <n v="181"/>
    <n v="828"/>
    <n v="25"/>
  </r>
  <r>
    <x v="16"/>
    <x v="16"/>
    <s v="F"/>
    <n v="1099"/>
    <n v="862"/>
    <n v="414"/>
    <n v="448"/>
    <n v="390"/>
    <n v="24"/>
  </r>
  <r>
    <x v="16"/>
    <x v="16"/>
    <s v="G"/>
    <n v="663"/>
    <n v="701"/>
    <n v="375"/>
    <n v="326"/>
    <n v="347"/>
    <n v="28"/>
  </r>
  <r>
    <x v="17"/>
    <x v="17"/>
    <s v="A"/>
    <n v="693"/>
    <n v="891"/>
    <n v="556"/>
    <n v="335"/>
    <n v="507"/>
    <n v="49"/>
  </r>
  <r>
    <x v="17"/>
    <x v="17"/>
    <s v="B"/>
    <n v="253"/>
    <n v="144"/>
    <n v="144"/>
    <n v="0"/>
    <n v="143"/>
    <n v="1"/>
  </r>
  <r>
    <x v="17"/>
    <x v="17"/>
    <s v="C"/>
    <n v="945"/>
    <n v="623"/>
    <n v="604"/>
    <n v="19"/>
    <n v="595"/>
    <n v="9"/>
  </r>
  <r>
    <x v="17"/>
    <x v="17"/>
    <s v="CH"/>
    <n v="832"/>
    <n v="1155"/>
    <n v="1137"/>
    <n v="18"/>
    <n v="1128"/>
    <n v="9"/>
  </r>
  <r>
    <x v="17"/>
    <x v="17"/>
    <s v="D"/>
    <n v="935"/>
    <n v="962"/>
    <n v="695"/>
    <n v="267"/>
    <n v="576"/>
    <n v="119"/>
  </r>
  <r>
    <x v="17"/>
    <x v="17"/>
    <s v="E"/>
    <n v="510"/>
    <n v="505"/>
    <n v="487"/>
    <n v="18"/>
    <n v="462"/>
    <n v="25"/>
  </r>
  <r>
    <x v="17"/>
    <x v="17"/>
    <s v="F"/>
    <n v="286"/>
    <n v="1219"/>
    <n v="830"/>
    <n v="389"/>
    <n v="743"/>
    <n v="87"/>
  </r>
  <r>
    <x v="17"/>
    <x v="17"/>
    <s v="G"/>
    <n v="737"/>
    <n v="735"/>
    <n v="660"/>
    <n v="75"/>
    <n v="606"/>
    <n v="54"/>
  </r>
  <r>
    <x v="18"/>
    <x v="18"/>
    <s v="A"/>
    <n v="694"/>
    <n v="895"/>
    <n v="759"/>
    <n v="136"/>
    <n v="720"/>
    <n v="39"/>
  </r>
  <r>
    <x v="18"/>
    <x v="18"/>
    <s v="B"/>
    <n v="48"/>
    <n v="157"/>
    <n v="157"/>
    <n v="0"/>
    <n v="155"/>
    <n v="2"/>
  </r>
  <r>
    <x v="18"/>
    <x v="18"/>
    <s v="C"/>
    <n v="697"/>
    <n v="1053"/>
    <n v="931"/>
    <n v="122"/>
    <n v="918"/>
    <n v="13"/>
  </r>
  <r>
    <x v="18"/>
    <x v="18"/>
    <s v="CH"/>
    <n v="951"/>
    <n v="667"/>
    <n v="667"/>
    <n v="0"/>
    <n v="657"/>
    <n v="10"/>
  </r>
  <r>
    <x v="18"/>
    <x v="18"/>
    <s v="D"/>
    <n v="452"/>
    <n v="772"/>
    <n v="618"/>
    <n v="154"/>
    <n v="512"/>
    <n v="106"/>
  </r>
  <r>
    <x v="18"/>
    <x v="18"/>
    <s v="E"/>
    <n v="896"/>
    <n v="1153"/>
    <n v="976"/>
    <n v="177"/>
    <n v="945"/>
    <n v="31"/>
  </r>
  <r>
    <x v="18"/>
    <x v="18"/>
    <s v="F"/>
    <n v="1099"/>
    <n v="819"/>
    <n v="504"/>
    <n v="315"/>
    <n v="453"/>
    <n v="51"/>
  </r>
  <r>
    <x v="18"/>
    <x v="18"/>
    <s v="G"/>
    <n v="663"/>
    <n v="902"/>
    <n v="678"/>
    <n v="224"/>
    <n v="628"/>
    <n v="50"/>
  </r>
  <r>
    <x v="19"/>
    <x v="19"/>
    <s v="A"/>
    <n v="693"/>
    <n v="1280"/>
    <n v="699"/>
    <n v="581"/>
    <n v="637"/>
    <n v="62"/>
  </r>
  <r>
    <x v="19"/>
    <x v="19"/>
    <s v="C"/>
    <n v="0"/>
    <n v="216"/>
    <n v="109"/>
    <n v="107"/>
    <n v="108"/>
    <n v="1"/>
  </r>
  <r>
    <x v="19"/>
    <x v="19"/>
    <s v="D"/>
    <n v="935"/>
    <n v="1107"/>
    <n v="678"/>
    <n v="429"/>
    <n v="603"/>
    <n v="75"/>
  </r>
  <r>
    <x v="19"/>
    <x v="19"/>
    <s v="E"/>
    <n v="288"/>
    <n v="304"/>
    <n v="179"/>
    <n v="125"/>
    <n v="166"/>
    <n v="13"/>
  </r>
  <r>
    <x v="19"/>
    <x v="19"/>
    <s v="F"/>
    <n v="286"/>
    <n v="778"/>
    <n v="557"/>
    <n v="221"/>
    <n v="514"/>
    <n v="43"/>
  </r>
  <r>
    <x v="19"/>
    <x v="19"/>
    <s v="G"/>
    <n v="737"/>
    <n v="599"/>
    <n v="525"/>
    <n v="74"/>
    <n v="481"/>
    <n v="44"/>
  </r>
  <r>
    <x v="20"/>
    <x v="20"/>
    <s v="A"/>
    <n v="138"/>
    <n v="238"/>
    <n v="190"/>
    <n v="48"/>
    <n v="169"/>
    <n v="21"/>
  </r>
  <r>
    <x v="20"/>
    <x v="20"/>
    <s v="B"/>
    <n v="301"/>
    <n v="255"/>
    <n v="194"/>
    <n v="61"/>
    <n v="193"/>
    <n v="1"/>
  </r>
  <r>
    <x v="20"/>
    <x v="20"/>
    <s v="C"/>
    <n v="945"/>
    <n v="780"/>
    <n v="676"/>
    <n v="104"/>
    <n v="660"/>
    <n v="16"/>
  </r>
  <r>
    <x v="20"/>
    <x v="20"/>
    <s v="CH"/>
    <n v="1783"/>
    <n v="1158"/>
    <n v="1142"/>
    <n v="16"/>
    <n v="1131"/>
    <n v="11"/>
  </r>
  <r>
    <x v="20"/>
    <x v="20"/>
    <s v="D"/>
    <n v="452"/>
    <n v="536"/>
    <n v="481"/>
    <n v="55"/>
    <n v="456"/>
    <n v="25"/>
  </r>
  <r>
    <x v="20"/>
    <x v="20"/>
    <s v="E"/>
    <n v="444"/>
    <n v="513"/>
    <n v="460"/>
    <n v="53"/>
    <n v="432"/>
    <n v="28"/>
  </r>
  <r>
    <x v="20"/>
    <x v="20"/>
    <s v="F"/>
    <n v="0"/>
    <n v="334"/>
    <n v="287"/>
    <n v="47"/>
    <n v="250"/>
    <n v="37"/>
  </r>
  <r>
    <x v="20"/>
    <x v="20"/>
    <s v="G"/>
    <n v="0"/>
    <n v="304"/>
    <n v="281"/>
    <n v="23"/>
    <n v="277"/>
    <n v="4"/>
  </r>
  <r>
    <x v="21"/>
    <x v="21"/>
    <s v="A"/>
    <n v="697"/>
    <n v="1378"/>
    <n v="682"/>
    <n v="696"/>
    <n v="649"/>
    <n v="33"/>
  </r>
  <r>
    <x v="21"/>
    <x v="21"/>
    <s v="B"/>
    <n v="48"/>
    <n v="109"/>
    <n v="109"/>
    <n v="0"/>
    <n v="109"/>
    <n v="0"/>
  </r>
  <r>
    <x v="21"/>
    <x v="21"/>
    <s v="C"/>
    <n v="697"/>
    <n v="1043"/>
    <n v="874"/>
    <n v="169"/>
    <n v="845"/>
    <n v="29"/>
  </r>
  <r>
    <x v="21"/>
    <x v="21"/>
    <s v="CH"/>
    <n v="832"/>
    <n v="667"/>
    <n v="666"/>
    <n v="1"/>
    <n v="659"/>
    <n v="7"/>
  </r>
  <r>
    <x v="21"/>
    <x v="21"/>
    <s v="D"/>
    <n v="352"/>
    <n v="220"/>
    <n v="131"/>
    <n v="89"/>
    <n v="122"/>
    <n v="9"/>
  </r>
  <r>
    <x v="21"/>
    <x v="21"/>
    <s v="E"/>
    <n v="896"/>
    <n v="1542"/>
    <n v="1016"/>
    <n v="526"/>
    <n v="974"/>
    <n v="42"/>
  </r>
  <r>
    <x v="21"/>
    <x v="21"/>
    <s v="F"/>
    <n v="1099"/>
    <n v="2270"/>
    <n v="1121"/>
    <n v="1149"/>
    <n v="1028"/>
    <n v="93"/>
  </r>
  <r>
    <x v="21"/>
    <x v="21"/>
    <s v="G"/>
    <n v="663"/>
    <n v="754"/>
    <n v="601"/>
    <n v="153"/>
    <n v="550"/>
    <n v="51"/>
  </r>
  <r>
    <x v="22"/>
    <x v="22"/>
    <s v="A"/>
    <n v="690"/>
    <n v="890"/>
    <n v="730"/>
    <n v="160"/>
    <n v="654"/>
    <n v="76"/>
  </r>
  <r>
    <x v="22"/>
    <x v="22"/>
    <s v="B"/>
    <n v="253"/>
    <n v="253"/>
    <n v="253"/>
    <n v="0"/>
    <n v="250"/>
    <n v="3"/>
  </r>
  <r>
    <x v="22"/>
    <x v="22"/>
    <s v="C"/>
    <n v="945"/>
    <n v="734"/>
    <n v="646"/>
    <n v="88"/>
    <n v="633"/>
    <n v="13"/>
  </r>
  <r>
    <x v="22"/>
    <x v="22"/>
    <s v="CH"/>
    <n v="951"/>
    <n v="1158"/>
    <n v="1158"/>
    <n v="0"/>
    <n v="1149"/>
    <n v="9"/>
  </r>
  <r>
    <x v="22"/>
    <x v="22"/>
    <s v="D"/>
    <n v="1035"/>
    <n v="1132"/>
    <n v="867"/>
    <n v="265"/>
    <n v="779"/>
    <n v="88"/>
  </r>
  <r>
    <x v="22"/>
    <x v="22"/>
    <s v="E"/>
    <n v="474"/>
    <n v="640"/>
    <n v="611"/>
    <n v="29"/>
    <n v="578"/>
    <n v="33"/>
  </r>
  <r>
    <x v="22"/>
    <x v="22"/>
    <s v="F"/>
    <n v="286"/>
    <n v="209"/>
    <n v="176"/>
    <n v="33"/>
    <n v="162"/>
    <n v="14"/>
  </r>
  <r>
    <x v="22"/>
    <x v="22"/>
    <s v="G"/>
    <n v="737"/>
    <n v="691"/>
    <n v="548"/>
    <n v="143"/>
    <n v="502"/>
    <n v="46"/>
  </r>
  <r>
    <x v="23"/>
    <x v="23"/>
    <s v="A"/>
    <n v="697"/>
    <n v="953"/>
    <n v="703"/>
    <n v="250"/>
    <n v="667"/>
    <n v="36"/>
  </r>
  <r>
    <x v="23"/>
    <x v="23"/>
    <s v="B"/>
    <n v="48"/>
    <n v="51"/>
    <n v="48"/>
    <n v="3"/>
    <n v="48"/>
    <n v="0"/>
  </r>
  <r>
    <x v="23"/>
    <x v="23"/>
    <s v="C"/>
    <n v="697"/>
    <n v="1093"/>
    <n v="956"/>
    <n v="137"/>
    <n v="933"/>
    <n v="23"/>
  </r>
  <r>
    <x v="23"/>
    <x v="23"/>
    <s v="CH"/>
    <n v="708"/>
    <n v="649"/>
    <n v="649"/>
    <n v="0"/>
    <n v="645"/>
    <n v="4"/>
  </r>
  <r>
    <x v="23"/>
    <x v="23"/>
    <s v="D"/>
    <n v="352"/>
    <n v="820"/>
    <n v="661"/>
    <n v="159"/>
    <n v="595"/>
    <n v="66"/>
  </r>
  <r>
    <x v="23"/>
    <x v="23"/>
    <s v="E"/>
    <n v="926"/>
    <n v="1132"/>
    <n v="922"/>
    <n v="210"/>
    <n v="878"/>
    <n v="44"/>
  </r>
  <r>
    <x v="23"/>
    <x v="23"/>
    <s v="F"/>
    <n v="1099"/>
    <n v="824"/>
    <n v="548"/>
    <n v="276"/>
    <n v="495"/>
    <n v="53"/>
  </r>
  <r>
    <x v="23"/>
    <x v="23"/>
    <s v="G"/>
    <n v="663"/>
    <n v="804"/>
    <n v="725"/>
    <n v="79"/>
    <n v="584"/>
    <n v="141"/>
  </r>
  <r>
    <x v="24"/>
    <x v="24"/>
    <s v="A"/>
    <n v="690"/>
    <n v="883"/>
    <n v="813"/>
    <n v="70"/>
    <n v="722"/>
    <n v="91"/>
  </r>
  <r>
    <x v="24"/>
    <x v="24"/>
    <s v="B"/>
    <n v="253"/>
    <n v="253"/>
    <n v="253"/>
    <n v="0"/>
    <n v="252"/>
    <n v="1"/>
  </r>
  <r>
    <x v="24"/>
    <x v="24"/>
    <s v="C"/>
    <n v="945"/>
    <n v="711"/>
    <n v="664"/>
    <n v="47"/>
    <n v="651"/>
    <n v="13"/>
  </r>
  <r>
    <x v="24"/>
    <x v="24"/>
    <s v="CH"/>
    <n v="951"/>
    <n v="1155"/>
    <n v="1155"/>
    <n v="0"/>
    <n v="1141"/>
    <n v="14"/>
  </r>
  <r>
    <x v="24"/>
    <x v="24"/>
    <s v="D"/>
    <n v="1035"/>
    <n v="412"/>
    <n v="370"/>
    <n v="42"/>
    <n v="342"/>
    <n v="28"/>
  </r>
  <r>
    <x v="24"/>
    <x v="24"/>
    <s v="E"/>
    <n v="480"/>
    <n v="962"/>
    <n v="632"/>
    <n v="330"/>
    <n v="599"/>
    <n v="33"/>
  </r>
  <r>
    <x v="24"/>
    <x v="24"/>
    <s v="F"/>
    <n v="286"/>
    <n v="1222"/>
    <n v="966"/>
    <n v="256"/>
    <n v="884"/>
    <n v="82"/>
  </r>
  <r>
    <x v="24"/>
    <x v="24"/>
    <s v="G"/>
    <n v="737"/>
    <n v="630"/>
    <n v="534"/>
    <n v="96"/>
    <n v="490"/>
    <n v="44"/>
  </r>
  <r>
    <x v="25"/>
    <x v="25"/>
    <s v="A"/>
    <n v="697"/>
    <n v="795"/>
    <n v="555"/>
    <n v="240"/>
    <n v="528"/>
    <n v="27"/>
  </r>
  <r>
    <x v="25"/>
    <x v="25"/>
    <s v="B"/>
    <n v="48"/>
    <n v="49"/>
    <n v="49"/>
    <n v="0"/>
    <n v="49"/>
    <n v="0"/>
  </r>
  <r>
    <x v="25"/>
    <x v="25"/>
    <s v="C"/>
    <n v="697"/>
    <n v="1124"/>
    <n v="1095"/>
    <n v="29"/>
    <n v="1078"/>
    <n v="17"/>
  </r>
  <r>
    <x v="25"/>
    <x v="25"/>
    <s v="CH"/>
    <n v="708"/>
    <n v="654"/>
    <n v="654"/>
    <n v="0"/>
    <n v="645"/>
    <n v="9"/>
  </r>
  <r>
    <x v="25"/>
    <x v="25"/>
    <s v="D"/>
    <n v="352"/>
    <n v="1067"/>
    <n v="820"/>
    <n v="247"/>
    <n v="740"/>
    <n v="80"/>
  </r>
  <r>
    <x v="25"/>
    <x v="25"/>
    <s v="E"/>
    <n v="890"/>
    <n v="1225"/>
    <n v="1131"/>
    <n v="94"/>
    <n v="1075"/>
    <n v="56"/>
  </r>
  <r>
    <x v="25"/>
    <x v="25"/>
    <s v="F"/>
    <n v="1099"/>
    <n v="647"/>
    <n v="470"/>
    <n v="177"/>
    <n v="423"/>
    <n v="47"/>
  </r>
  <r>
    <x v="25"/>
    <x v="25"/>
    <s v="G"/>
    <n v="663"/>
    <n v="774"/>
    <n v="502"/>
    <n v="272"/>
    <n v="465"/>
    <n v="37"/>
  </r>
  <r>
    <x v="26"/>
    <x v="26"/>
    <s v="A"/>
    <n v="690"/>
    <n v="882"/>
    <n v="719"/>
    <n v="163"/>
    <n v="640"/>
    <n v="79"/>
  </r>
  <r>
    <x v="26"/>
    <x v="26"/>
    <s v="C"/>
    <n v="0"/>
    <n v="23"/>
    <n v="23"/>
    <n v="0"/>
    <n v="20"/>
    <n v="3"/>
  </r>
  <r>
    <x v="26"/>
    <x v="26"/>
    <s v="D"/>
    <n v="935"/>
    <n v="791"/>
    <n v="652"/>
    <n v="139"/>
    <n v="584"/>
    <n v="68"/>
  </r>
  <r>
    <x v="26"/>
    <x v="26"/>
    <s v="E"/>
    <n v="288"/>
    <n v="100"/>
    <n v="100"/>
    <n v="0"/>
    <n v="92"/>
    <n v="8"/>
  </r>
  <r>
    <x v="26"/>
    <x v="26"/>
    <s v="F"/>
    <n v="286"/>
    <n v="961"/>
    <n v="778"/>
    <n v="183"/>
    <n v="701"/>
    <n v="77"/>
  </r>
  <r>
    <x v="26"/>
    <x v="26"/>
    <s v="G"/>
    <n v="737"/>
    <n v="693"/>
    <n v="652"/>
    <n v="41"/>
    <n v="615"/>
    <n v="37"/>
  </r>
  <r>
    <x v="27"/>
    <x v="27"/>
    <s v="A"/>
    <n v="141"/>
    <n v="335"/>
    <n v="248"/>
    <n v="87"/>
    <n v="130"/>
    <n v="118"/>
  </r>
  <r>
    <x v="27"/>
    <x v="27"/>
    <s v="B"/>
    <n v="301"/>
    <n v="253"/>
    <n v="245"/>
    <n v="8"/>
    <n v="241"/>
    <n v="4"/>
  </r>
  <r>
    <x v="27"/>
    <x v="27"/>
    <s v="C"/>
    <n v="945"/>
    <n v="962"/>
    <n v="752"/>
    <n v="210"/>
    <n v="689"/>
    <n v="63"/>
  </r>
  <r>
    <x v="27"/>
    <x v="27"/>
    <s v="CH"/>
    <n v="1659"/>
    <n v="1155"/>
    <n v="1140"/>
    <n v="15"/>
    <n v="1123"/>
    <n v="17"/>
  </r>
  <r>
    <x v="27"/>
    <x v="27"/>
    <s v="D"/>
    <n v="452"/>
    <n v="100"/>
    <n v="100"/>
    <n v="0"/>
    <n v="98"/>
    <n v="2"/>
  </r>
  <r>
    <x v="27"/>
    <x v="27"/>
    <s v="E"/>
    <n v="450"/>
    <n v="383"/>
    <n v="353"/>
    <n v="30"/>
    <n v="338"/>
    <n v="15"/>
  </r>
  <r>
    <x v="27"/>
    <x v="27"/>
    <s v="F"/>
    <n v="0"/>
    <n v="358"/>
    <n v="303"/>
    <n v="55"/>
    <n v="227"/>
    <n v="76"/>
  </r>
  <r>
    <x v="27"/>
    <x v="27"/>
    <s v="G"/>
    <n v="0"/>
    <n v="552"/>
    <n v="418"/>
    <n v="134"/>
    <n v="394"/>
    <n v="24"/>
  </r>
  <r>
    <x v="28"/>
    <x v="28"/>
    <s v="A"/>
    <n v="694"/>
    <n v="948"/>
    <n v="682"/>
    <n v="266"/>
    <n v="648"/>
    <n v="34"/>
  </r>
  <r>
    <x v="28"/>
    <x v="28"/>
    <s v="B"/>
    <n v="48"/>
    <n v="8"/>
    <n v="8"/>
    <n v="0"/>
    <n v="8"/>
    <n v="0"/>
  </r>
  <r>
    <x v="28"/>
    <x v="28"/>
    <s v="C"/>
    <n v="697"/>
    <n v="140"/>
    <n v="125"/>
    <n v="15"/>
    <n v="122"/>
    <n v="3"/>
  </r>
  <r>
    <x v="28"/>
    <x v="28"/>
    <s v="CH"/>
    <n v="951"/>
    <n v="15"/>
    <n v="15"/>
    <n v="0"/>
    <n v="11"/>
    <n v="4"/>
  </r>
  <r>
    <x v="28"/>
    <x v="28"/>
    <s v="D"/>
    <n v="452"/>
    <n v="877"/>
    <n v="808"/>
    <n v="69"/>
    <n v="735"/>
    <n v="73"/>
  </r>
  <r>
    <x v="28"/>
    <x v="28"/>
    <s v="E"/>
    <n v="890"/>
    <n v="499"/>
    <n v="317"/>
    <n v="182"/>
    <n v="284"/>
    <n v="33"/>
  </r>
  <r>
    <x v="28"/>
    <x v="28"/>
    <s v="F"/>
    <n v="1099"/>
    <n v="671"/>
    <n v="538"/>
    <n v="133"/>
    <n v="482"/>
    <n v="56"/>
  </r>
  <r>
    <x v="28"/>
    <x v="28"/>
    <s v="G"/>
    <n v="663"/>
    <n v="525"/>
    <n v="468"/>
    <n v="57"/>
    <n v="426"/>
    <n v="42"/>
  </r>
  <r>
    <x v="29"/>
    <x v="29"/>
    <s v="B"/>
    <n v="253"/>
    <n v="48"/>
    <n v="48"/>
    <n v="0"/>
    <n v="48"/>
    <n v="0"/>
  </r>
  <r>
    <x v="29"/>
    <x v="29"/>
    <s v="C"/>
    <n v="945"/>
    <n v="857"/>
    <n v="600"/>
    <n v="257"/>
    <n v="591"/>
    <n v="9"/>
  </r>
  <r>
    <x v="29"/>
    <x v="29"/>
    <s v="CH"/>
    <n v="708"/>
    <n v="872"/>
    <n v="815"/>
    <n v="57"/>
    <n v="806"/>
    <n v="9"/>
  </r>
  <r>
    <x v="29"/>
    <x v="29"/>
    <s v="E"/>
    <n v="510"/>
    <n v="950"/>
    <n v="652"/>
    <n v="298"/>
    <n v="643"/>
    <n v="9"/>
  </r>
  <r>
    <x v="30"/>
    <x v="30"/>
    <s v="A"/>
    <n v="694"/>
    <n v="1350"/>
    <n v="1013"/>
    <n v="337"/>
    <n v="934"/>
    <n v="79"/>
  </r>
  <r>
    <x v="30"/>
    <x v="30"/>
    <s v="B"/>
    <n v="48"/>
    <n v="254"/>
    <n v="253"/>
    <n v="1"/>
    <n v="248"/>
    <n v="5"/>
  </r>
  <r>
    <x v="30"/>
    <x v="30"/>
    <s v="C"/>
    <n v="697"/>
    <n v="1150"/>
    <n v="971"/>
    <n v="179"/>
    <n v="918"/>
    <n v="53"/>
  </r>
  <r>
    <x v="30"/>
    <x v="30"/>
    <s v="CH"/>
    <n v="951"/>
    <n v="973"/>
    <n v="973"/>
    <n v="0"/>
    <n v="965"/>
    <n v="8"/>
  </r>
  <r>
    <x v="30"/>
    <x v="30"/>
    <s v="D"/>
    <n v="452"/>
    <n v="828"/>
    <n v="604"/>
    <n v="224"/>
    <n v="539"/>
    <n v="65"/>
  </r>
  <r>
    <x v="30"/>
    <x v="30"/>
    <s v="E"/>
    <n v="896"/>
    <n v="565"/>
    <n v="465"/>
    <n v="100"/>
    <n v="441"/>
    <n v="24"/>
  </r>
  <r>
    <x v="30"/>
    <x v="30"/>
    <s v="F"/>
    <n v="1099"/>
    <n v="788"/>
    <n v="415"/>
    <n v="373"/>
    <n v="348"/>
    <n v="67"/>
  </r>
  <r>
    <x v="30"/>
    <x v="30"/>
    <s v="G"/>
    <n v="663"/>
    <n v="822"/>
    <n v="508"/>
    <n v="314"/>
    <n v="472"/>
    <n v="36"/>
  </r>
  <r>
    <x v="31"/>
    <x v="31"/>
    <s v="A"/>
    <n v="693"/>
    <n v="337"/>
    <n v="218"/>
    <n v="119"/>
    <n v="194"/>
    <n v="24"/>
  </r>
  <r>
    <x v="31"/>
    <x v="31"/>
    <s v="B"/>
    <n v="253"/>
    <n v="52"/>
    <n v="52"/>
    <n v="0"/>
    <n v="52"/>
    <n v="0"/>
  </r>
  <r>
    <x v="31"/>
    <x v="31"/>
    <s v="C"/>
    <n v="945"/>
    <n v="691"/>
    <n v="577"/>
    <n v="114"/>
    <n v="564"/>
    <n v="13"/>
  </r>
  <r>
    <x v="31"/>
    <x v="31"/>
    <s v="CH"/>
    <n v="708"/>
    <n v="873"/>
    <n v="873"/>
    <n v="0"/>
    <n v="864"/>
    <n v="9"/>
  </r>
  <r>
    <x v="31"/>
    <x v="31"/>
    <s v="D"/>
    <n v="935"/>
    <n v="947"/>
    <n v="800"/>
    <n v="147"/>
    <n v="715"/>
    <n v="85"/>
  </r>
  <r>
    <x v="31"/>
    <x v="31"/>
    <s v="E"/>
    <n v="474"/>
    <n v="1319"/>
    <n v="1011"/>
    <n v="308"/>
    <n v="979"/>
    <n v="32"/>
  </r>
  <r>
    <x v="31"/>
    <x v="31"/>
    <s v="F"/>
    <n v="286"/>
    <n v="1044"/>
    <n v="935"/>
    <n v="109"/>
    <n v="850"/>
    <n v="85"/>
  </r>
  <r>
    <x v="31"/>
    <x v="31"/>
    <s v="G"/>
    <n v="737"/>
    <n v="1001"/>
    <n v="654"/>
    <n v="347"/>
    <n v="590"/>
    <n v="64"/>
  </r>
  <r>
    <x v="32"/>
    <x v="32"/>
    <s v="A"/>
    <n v="694"/>
    <n v="1278"/>
    <n v="1113"/>
    <n v="165"/>
    <n v="634"/>
    <n v="479"/>
  </r>
  <r>
    <x v="32"/>
    <x v="32"/>
    <s v="B"/>
    <n v="48"/>
    <n v="253"/>
    <n v="253"/>
    <n v="0"/>
    <n v="250"/>
    <n v="3"/>
  </r>
  <r>
    <x v="32"/>
    <x v="32"/>
    <s v="C"/>
    <n v="697"/>
    <n v="1182"/>
    <n v="1108"/>
    <n v="74"/>
    <n v="1026"/>
    <n v="82"/>
  </r>
  <r>
    <x v="32"/>
    <x v="32"/>
    <s v="CH"/>
    <n v="951"/>
    <n v="939"/>
    <n v="936"/>
    <n v="3"/>
    <n v="925"/>
    <n v="11"/>
  </r>
  <r>
    <x v="32"/>
    <x v="32"/>
    <s v="D"/>
    <n v="452"/>
    <n v="520"/>
    <n v="480"/>
    <n v="40"/>
    <n v="339"/>
    <n v="141"/>
  </r>
  <r>
    <x v="32"/>
    <x v="32"/>
    <s v="E"/>
    <n v="926"/>
    <n v="952"/>
    <n v="847"/>
    <n v="105"/>
    <n v="682"/>
    <n v="165"/>
  </r>
  <r>
    <x v="32"/>
    <x v="32"/>
    <s v="F"/>
    <n v="1099"/>
    <n v="638"/>
    <n v="545"/>
    <n v="93"/>
    <n v="246"/>
    <n v="299"/>
  </r>
  <r>
    <x v="32"/>
    <x v="32"/>
    <s v="G"/>
    <n v="663"/>
    <n v="665"/>
    <n v="608"/>
    <n v="57"/>
    <n v="389"/>
    <n v="219"/>
  </r>
  <r>
    <x v="33"/>
    <x v="33"/>
    <s v="A"/>
    <n v="693"/>
    <n v="833"/>
    <n v="667"/>
    <n v="166"/>
    <n v="608"/>
    <n v="59"/>
  </r>
  <r>
    <x v="33"/>
    <x v="33"/>
    <s v="C"/>
    <n v="0"/>
    <n v="190"/>
    <n v="190"/>
    <n v="0"/>
    <n v="184"/>
    <n v="6"/>
  </r>
  <r>
    <x v="33"/>
    <x v="33"/>
    <s v="D"/>
    <n v="935"/>
    <n v="733"/>
    <n v="567"/>
    <n v="166"/>
    <n v="503"/>
    <n v="64"/>
  </r>
  <r>
    <x v="33"/>
    <x v="33"/>
    <s v="E"/>
    <n v="288"/>
    <n v="186"/>
    <n v="126"/>
    <n v="60"/>
    <n v="112"/>
    <n v="14"/>
  </r>
  <r>
    <x v="33"/>
    <x v="33"/>
    <s v="F"/>
    <n v="286"/>
    <n v="1057"/>
    <n v="690"/>
    <n v="367"/>
    <n v="633"/>
    <n v="57"/>
  </r>
  <r>
    <x v="33"/>
    <x v="33"/>
    <s v="G"/>
    <n v="737"/>
    <n v="864"/>
    <n v="748"/>
    <n v="116"/>
    <n v="693"/>
    <n v="55"/>
  </r>
  <r>
    <x v="34"/>
    <x v="34"/>
    <s v="A"/>
    <n v="138"/>
    <n v="112"/>
    <n v="85"/>
    <n v="27"/>
    <n v="74"/>
    <n v="11"/>
  </r>
  <r>
    <x v="34"/>
    <x v="34"/>
    <s v="B"/>
    <n v="301"/>
    <n v="51"/>
    <n v="51"/>
    <n v="0"/>
    <n v="50"/>
    <n v="1"/>
  </r>
  <r>
    <x v="34"/>
    <x v="34"/>
    <s v="C"/>
    <n v="945"/>
    <n v="545"/>
    <n v="528"/>
    <n v="17"/>
    <n v="518"/>
    <n v="10"/>
  </r>
  <r>
    <x v="34"/>
    <x v="34"/>
    <s v="CH"/>
    <n v="1659"/>
    <n v="1163"/>
    <n v="1136"/>
    <n v="27"/>
    <n v="1127"/>
    <n v="9"/>
  </r>
  <r>
    <x v="34"/>
    <x v="34"/>
    <s v="D"/>
    <n v="452"/>
    <n v="668"/>
    <n v="495"/>
    <n v="173"/>
    <n v="462"/>
    <n v="33"/>
  </r>
  <r>
    <x v="34"/>
    <x v="34"/>
    <s v="E"/>
    <n v="378"/>
    <n v="673"/>
    <n v="587"/>
    <n v="86"/>
    <n v="570"/>
    <n v="17"/>
  </r>
  <r>
    <x v="34"/>
    <x v="34"/>
    <s v="F"/>
    <n v="36"/>
    <n v="373"/>
    <n v="319"/>
    <n v="54"/>
    <n v="295"/>
    <n v="24"/>
  </r>
  <r>
    <x v="34"/>
    <x v="34"/>
    <s v="G"/>
    <n v="0"/>
    <n v="330"/>
    <n v="279"/>
    <n v="51"/>
    <n v="260"/>
    <n v="19"/>
  </r>
  <r>
    <x v="35"/>
    <x v="35"/>
    <s v="A"/>
    <n v="697"/>
    <n v="1605"/>
    <n v="929"/>
    <n v="676"/>
    <n v="857"/>
    <n v="72"/>
  </r>
  <r>
    <x v="35"/>
    <x v="35"/>
    <s v="B"/>
    <n v="48"/>
    <n v="253"/>
    <n v="152"/>
    <n v="101"/>
    <n v="111"/>
    <n v="41"/>
  </r>
  <r>
    <x v="35"/>
    <x v="35"/>
    <s v="C"/>
    <n v="697"/>
    <n v="1159"/>
    <n v="1058"/>
    <n v="101"/>
    <n v="836"/>
    <n v="222"/>
  </r>
  <r>
    <x v="35"/>
    <x v="35"/>
    <s v="CH"/>
    <n v="832"/>
    <n v="703"/>
    <n v="682"/>
    <n v="21"/>
    <n v="665"/>
    <n v="17"/>
  </r>
  <r>
    <x v="35"/>
    <x v="35"/>
    <s v="D"/>
    <n v="352"/>
    <n v="806"/>
    <n v="392"/>
    <n v="414"/>
    <n v="351"/>
    <n v="41"/>
  </r>
  <r>
    <x v="35"/>
    <x v="35"/>
    <s v="E"/>
    <n v="926"/>
    <n v="1390"/>
    <n v="893"/>
    <n v="497"/>
    <n v="686"/>
    <n v="207"/>
  </r>
  <r>
    <x v="35"/>
    <x v="35"/>
    <s v="F"/>
    <n v="1099"/>
    <n v="780"/>
    <n v="567"/>
    <n v="213"/>
    <n v="507"/>
    <n v="60"/>
  </r>
  <r>
    <x v="35"/>
    <x v="35"/>
    <s v="G"/>
    <n v="663"/>
    <n v="927"/>
    <n v="547"/>
    <n v="380"/>
    <n v="513"/>
    <n v="34"/>
  </r>
  <r>
    <x v="36"/>
    <x v="36"/>
    <s v="A"/>
    <n v="690"/>
    <n v="923"/>
    <n v="399"/>
    <n v="524"/>
    <n v="370"/>
    <n v="29"/>
  </r>
  <r>
    <x v="36"/>
    <x v="36"/>
    <s v="B"/>
    <n v="253"/>
    <n v="202"/>
    <n v="187"/>
    <n v="15"/>
    <n v="177"/>
    <n v="10"/>
  </r>
  <r>
    <x v="36"/>
    <x v="36"/>
    <s v="C"/>
    <n v="945"/>
    <n v="432"/>
    <n v="406"/>
    <n v="26"/>
    <n v="399"/>
    <n v="7"/>
  </r>
  <r>
    <x v="36"/>
    <x v="36"/>
    <s v="CH"/>
    <n v="951"/>
    <n v="1070"/>
    <n v="1042"/>
    <n v="28"/>
    <n v="1030"/>
    <n v="12"/>
  </r>
  <r>
    <x v="36"/>
    <x v="36"/>
    <s v="D"/>
    <n v="1035"/>
    <n v="1161"/>
    <n v="610"/>
    <n v="551"/>
    <n v="536"/>
    <n v="74"/>
  </r>
  <r>
    <x v="36"/>
    <x v="36"/>
    <s v="E"/>
    <n v="480"/>
    <n v="820"/>
    <n v="588"/>
    <n v="232"/>
    <n v="568"/>
    <n v="20"/>
  </r>
  <r>
    <x v="36"/>
    <x v="36"/>
    <s v="F"/>
    <n v="286"/>
    <n v="1345"/>
    <n v="664"/>
    <n v="681"/>
    <n v="602"/>
    <n v="62"/>
  </r>
  <r>
    <x v="36"/>
    <x v="36"/>
    <s v="G"/>
    <n v="737"/>
    <n v="958"/>
    <n v="690"/>
    <n v="268"/>
    <n v="635"/>
    <n v="55"/>
  </r>
  <r>
    <x v="37"/>
    <x v="37"/>
    <s v="A"/>
    <n v="697"/>
    <n v="965"/>
    <n v="750"/>
    <n v="215"/>
    <n v="699"/>
    <n v="51"/>
  </r>
  <r>
    <x v="37"/>
    <x v="37"/>
    <s v="B"/>
    <n v="48"/>
    <n v="66"/>
    <n v="66"/>
    <n v="0"/>
    <n v="62"/>
    <n v="4"/>
  </r>
  <r>
    <x v="37"/>
    <x v="37"/>
    <s v="C"/>
    <n v="697"/>
    <n v="1253"/>
    <n v="1253"/>
    <n v="0"/>
    <n v="1242"/>
    <n v="11"/>
  </r>
  <r>
    <x v="37"/>
    <x v="37"/>
    <s v="CH"/>
    <n v="832"/>
    <n v="804"/>
    <n v="777"/>
    <n v="27"/>
    <n v="764"/>
    <n v="13"/>
  </r>
  <r>
    <x v="37"/>
    <x v="37"/>
    <s v="D"/>
    <n v="352"/>
    <n v="886"/>
    <n v="809"/>
    <n v="77"/>
    <n v="747"/>
    <n v="62"/>
  </r>
  <r>
    <x v="37"/>
    <x v="37"/>
    <s v="E"/>
    <n v="890"/>
    <n v="978"/>
    <n v="906"/>
    <n v="72"/>
    <n v="875"/>
    <n v="31"/>
  </r>
  <r>
    <x v="37"/>
    <x v="37"/>
    <s v="F"/>
    <n v="1099"/>
    <n v="873"/>
    <n v="703"/>
    <n v="170"/>
    <n v="629"/>
    <n v="74"/>
  </r>
  <r>
    <x v="37"/>
    <x v="37"/>
    <s v="G"/>
    <n v="663"/>
    <n v="470"/>
    <n v="457"/>
    <n v="13"/>
    <n v="395"/>
    <n v="62"/>
  </r>
  <r>
    <x v="38"/>
    <x v="38"/>
    <s v="A"/>
    <n v="690"/>
    <n v="897"/>
    <n v="758"/>
    <n v="139"/>
    <n v="691"/>
    <n v="67"/>
  </r>
  <r>
    <x v="38"/>
    <x v="38"/>
    <s v="B"/>
    <n v="253"/>
    <n v="256"/>
    <n v="243"/>
    <n v="13"/>
    <n v="236"/>
    <n v="7"/>
  </r>
  <r>
    <x v="38"/>
    <x v="38"/>
    <s v="C"/>
    <n v="945"/>
    <n v="718"/>
    <n v="603"/>
    <n v="115"/>
    <n v="599"/>
    <n v="4"/>
  </r>
  <r>
    <x v="38"/>
    <x v="38"/>
    <s v="CH"/>
    <n v="951"/>
    <n v="1162"/>
    <n v="1134"/>
    <n v="28"/>
    <n v="1122"/>
    <n v="12"/>
  </r>
  <r>
    <x v="38"/>
    <x v="38"/>
    <s v="D"/>
    <n v="1035"/>
    <n v="844"/>
    <n v="711"/>
    <n v="133"/>
    <n v="623"/>
    <n v="88"/>
  </r>
  <r>
    <x v="38"/>
    <x v="38"/>
    <s v="E"/>
    <n v="510"/>
    <n v="1056"/>
    <n v="978"/>
    <n v="78"/>
    <n v="837"/>
    <n v="141"/>
  </r>
  <r>
    <x v="38"/>
    <x v="38"/>
    <s v="F"/>
    <n v="286"/>
    <n v="780"/>
    <n v="620"/>
    <n v="160"/>
    <n v="547"/>
    <n v="73"/>
  </r>
  <r>
    <x v="38"/>
    <x v="38"/>
    <s v="G"/>
    <n v="737"/>
    <n v="855"/>
    <n v="807"/>
    <n v="48"/>
    <n v="748"/>
    <n v="59"/>
  </r>
  <r>
    <x v="39"/>
    <x v="39"/>
    <s v="A"/>
    <n v="697"/>
    <n v="757"/>
    <n v="719"/>
    <n v="38"/>
    <n v="686"/>
    <n v="33"/>
  </r>
  <r>
    <x v="39"/>
    <x v="39"/>
    <s v="B"/>
    <n v="48"/>
    <n v="64"/>
    <n v="64"/>
    <n v="0"/>
    <n v="62"/>
    <n v="2"/>
  </r>
  <r>
    <x v="39"/>
    <x v="39"/>
    <s v="C"/>
    <n v="697"/>
    <n v="1091"/>
    <n v="1014"/>
    <n v="77"/>
    <n v="956"/>
    <n v="58"/>
  </r>
  <r>
    <x v="39"/>
    <x v="39"/>
    <s v="CH"/>
    <n v="832"/>
    <n v="699"/>
    <n v="674"/>
    <n v="25"/>
    <n v="669"/>
    <n v="5"/>
  </r>
  <r>
    <x v="39"/>
    <x v="39"/>
    <s v="D"/>
    <n v="352"/>
    <n v="982"/>
    <n v="728"/>
    <n v="254"/>
    <n v="672"/>
    <n v="56"/>
  </r>
  <r>
    <x v="39"/>
    <x v="39"/>
    <s v="E"/>
    <n v="896"/>
    <n v="914"/>
    <n v="828"/>
    <n v="86"/>
    <n v="800"/>
    <n v="28"/>
  </r>
  <r>
    <x v="39"/>
    <x v="39"/>
    <s v="F"/>
    <n v="1099"/>
    <n v="1091"/>
    <n v="954"/>
    <n v="137"/>
    <n v="873"/>
    <n v="81"/>
  </r>
  <r>
    <x v="39"/>
    <x v="39"/>
    <s v="G"/>
    <n v="663"/>
    <n v="768"/>
    <n v="626"/>
    <n v="142"/>
    <n v="573"/>
    <n v="53"/>
  </r>
  <r>
    <x v="40"/>
    <x v="40"/>
    <s v="A"/>
    <n v="690"/>
    <n v="812"/>
    <n v="675"/>
    <n v="137"/>
    <n v="616"/>
    <n v="59"/>
  </r>
  <r>
    <x v="40"/>
    <x v="40"/>
    <s v="B"/>
    <n v="0"/>
    <n v="254"/>
    <n v="179"/>
    <n v="75"/>
    <n v="179"/>
    <n v="0"/>
  </r>
  <r>
    <x v="40"/>
    <x v="40"/>
    <s v="C"/>
    <n v="0"/>
    <n v="305"/>
    <n v="297"/>
    <n v="8"/>
    <n v="285"/>
    <n v="12"/>
  </r>
  <r>
    <x v="40"/>
    <x v="40"/>
    <s v="CH"/>
    <n v="0"/>
    <n v="1157"/>
    <n v="1157"/>
    <n v="0"/>
    <n v="1133"/>
    <n v="24"/>
  </r>
  <r>
    <x v="40"/>
    <x v="40"/>
    <s v="D"/>
    <n v="935"/>
    <n v="816"/>
    <n v="739"/>
    <n v="77"/>
    <n v="643"/>
    <n v="96"/>
  </r>
  <r>
    <x v="40"/>
    <x v="40"/>
    <s v="E"/>
    <n v="288"/>
    <n v="732"/>
    <n v="621"/>
    <n v="111"/>
    <n v="567"/>
    <n v="54"/>
  </r>
  <r>
    <x v="40"/>
    <x v="40"/>
    <s v="F"/>
    <n v="286"/>
    <n v="709"/>
    <n v="669"/>
    <n v="40"/>
    <n v="606"/>
    <n v="63"/>
  </r>
  <r>
    <x v="40"/>
    <x v="40"/>
    <s v="G"/>
    <n v="737"/>
    <n v="848"/>
    <n v="726"/>
    <n v="122"/>
    <n v="684"/>
    <n v="42"/>
  </r>
  <r>
    <x v="41"/>
    <x v="41"/>
    <s v="A"/>
    <n v="141"/>
    <n v="311"/>
    <n v="231"/>
    <n v="80"/>
    <n v="207"/>
    <n v="24"/>
  </r>
  <r>
    <x v="41"/>
    <x v="41"/>
    <s v="B"/>
    <n v="301"/>
    <n v="74"/>
    <n v="63"/>
    <n v="11"/>
    <n v="60"/>
    <n v="3"/>
  </r>
  <r>
    <x v="41"/>
    <x v="41"/>
    <s v="C"/>
    <n v="945"/>
    <n v="34"/>
    <n v="34"/>
    <n v="0"/>
    <n v="33"/>
    <n v="1"/>
  </r>
  <r>
    <x v="41"/>
    <x v="41"/>
    <s v="D"/>
    <n v="452"/>
    <n v="436"/>
    <n v="389"/>
    <n v="47"/>
    <n v="375"/>
    <n v="14"/>
  </r>
  <r>
    <x v="41"/>
    <x v="41"/>
    <s v="E"/>
    <n v="444"/>
    <n v="123"/>
    <n v="123"/>
    <n v="0"/>
    <n v="104"/>
    <n v="19"/>
  </r>
  <r>
    <x v="41"/>
    <x v="41"/>
    <s v="F"/>
    <n v="0"/>
    <n v="9"/>
    <n v="9"/>
    <n v="0"/>
    <n v="7"/>
    <n v="2"/>
  </r>
  <r>
    <x v="41"/>
    <x v="41"/>
    <s v="G"/>
    <n v="0"/>
    <n v="415"/>
    <n v="311"/>
    <n v="104"/>
    <n v="289"/>
    <n v="22"/>
  </r>
  <r>
    <x v="42"/>
    <x v="42"/>
    <s v="A"/>
    <n v="694"/>
    <n v="713"/>
    <n v="586"/>
    <n v="127"/>
    <n v="545"/>
    <n v="41"/>
  </r>
  <r>
    <x v="42"/>
    <x v="42"/>
    <s v="B"/>
    <n v="48"/>
    <n v="61"/>
    <n v="61"/>
    <n v="0"/>
    <n v="61"/>
    <n v="0"/>
  </r>
  <r>
    <x v="42"/>
    <x v="42"/>
    <s v="C"/>
    <n v="697"/>
    <n v="1474"/>
    <n v="1211"/>
    <n v="263"/>
    <n v="1191"/>
    <n v="20"/>
  </r>
  <r>
    <x v="42"/>
    <x v="42"/>
    <s v="CH"/>
    <n v="951"/>
    <n v="649"/>
    <n v="644"/>
    <n v="5"/>
    <n v="632"/>
    <n v="12"/>
  </r>
  <r>
    <x v="42"/>
    <x v="42"/>
    <s v="D"/>
    <n v="452"/>
    <n v="433"/>
    <n v="419"/>
    <n v="14"/>
    <n v="384"/>
    <n v="35"/>
  </r>
  <r>
    <x v="42"/>
    <x v="42"/>
    <s v="E"/>
    <n v="896"/>
    <n v="635"/>
    <n v="583"/>
    <n v="52"/>
    <n v="576"/>
    <n v="7"/>
  </r>
  <r>
    <x v="42"/>
    <x v="42"/>
    <s v="F"/>
    <n v="1099"/>
    <n v="89"/>
    <n v="27"/>
    <n v="62"/>
    <n v="26"/>
    <n v="1"/>
  </r>
  <r>
    <x v="42"/>
    <x v="42"/>
    <s v="G"/>
    <n v="663"/>
    <n v="418"/>
    <n v="367"/>
    <n v="51"/>
    <n v="335"/>
    <n v="32"/>
  </r>
  <r>
    <x v="43"/>
    <x v="43"/>
    <s v="A"/>
    <n v="693"/>
    <n v="732"/>
    <n v="527"/>
    <n v="205"/>
    <n v="490"/>
    <n v="37"/>
  </r>
  <r>
    <x v="43"/>
    <x v="43"/>
    <s v="B"/>
    <n v="253"/>
    <n v="254"/>
    <n v="239"/>
    <n v="15"/>
    <n v="239"/>
    <n v="0"/>
  </r>
  <r>
    <x v="43"/>
    <x v="43"/>
    <s v="C"/>
    <n v="945"/>
    <n v="578"/>
    <n v="506"/>
    <n v="72"/>
    <n v="492"/>
    <n v="14"/>
  </r>
  <r>
    <x v="43"/>
    <x v="43"/>
    <s v="CH"/>
    <n v="832"/>
    <n v="1160"/>
    <n v="1144"/>
    <n v="16"/>
    <n v="1133"/>
    <n v="11"/>
  </r>
  <r>
    <x v="43"/>
    <x v="43"/>
    <s v="D"/>
    <n v="935"/>
    <n v="320"/>
    <n v="273"/>
    <n v="47"/>
    <n v="253"/>
    <n v="20"/>
  </r>
  <r>
    <x v="43"/>
    <x v="43"/>
    <s v="E"/>
    <n v="474"/>
    <n v="1065"/>
    <n v="872"/>
    <n v="193"/>
    <n v="812"/>
    <n v="60"/>
  </r>
  <r>
    <x v="43"/>
    <x v="43"/>
    <s v="F"/>
    <n v="286"/>
    <n v="1428"/>
    <n v="1113"/>
    <n v="315"/>
    <n v="999"/>
    <n v="114"/>
  </r>
  <r>
    <x v="43"/>
    <x v="43"/>
    <s v="G"/>
    <n v="737"/>
    <n v="966"/>
    <n v="752"/>
    <n v="214"/>
    <n v="706"/>
    <n v="46"/>
  </r>
  <r>
    <x v="44"/>
    <x v="44"/>
    <s v="A"/>
    <n v="694"/>
    <n v="1210"/>
    <n v="969"/>
    <n v="241"/>
    <n v="836"/>
    <n v="133"/>
  </r>
  <r>
    <x v="44"/>
    <x v="44"/>
    <s v="B"/>
    <n v="48"/>
    <n v="64"/>
    <n v="64"/>
    <n v="0"/>
    <n v="64"/>
    <n v="0"/>
  </r>
  <r>
    <x v="44"/>
    <x v="44"/>
    <s v="C"/>
    <n v="697"/>
    <n v="1286"/>
    <n v="1171"/>
    <n v="115"/>
    <n v="1159"/>
    <n v="12"/>
  </r>
  <r>
    <x v="44"/>
    <x v="44"/>
    <s v="CH"/>
    <n v="951"/>
    <n v="660"/>
    <n v="660"/>
    <n v="0"/>
    <n v="647"/>
    <n v="13"/>
  </r>
  <r>
    <x v="44"/>
    <x v="44"/>
    <s v="D"/>
    <n v="452"/>
    <n v="1138"/>
    <n v="791"/>
    <n v="347"/>
    <n v="702"/>
    <n v="89"/>
  </r>
  <r>
    <x v="44"/>
    <x v="44"/>
    <s v="E"/>
    <n v="926"/>
    <n v="900"/>
    <n v="664"/>
    <n v="236"/>
    <n v="631"/>
    <n v="33"/>
  </r>
  <r>
    <x v="44"/>
    <x v="44"/>
    <s v="F"/>
    <n v="1099"/>
    <n v="556"/>
    <n v="408"/>
    <n v="148"/>
    <n v="341"/>
    <n v="67"/>
  </r>
  <r>
    <x v="44"/>
    <x v="44"/>
    <s v="G"/>
    <n v="663"/>
    <n v="602"/>
    <n v="484"/>
    <n v="118"/>
    <n v="438"/>
    <n v="46"/>
  </r>
  <r>
    <x v="45"/>
    <x v="45"/>
    <s v="A"/>
    <n v="693"/>
    <n v="733"/>
    <n v="557"/>
    <n v="176"/>
    <n v="516"/>
    <n v="41"/>
  </r>
  <r>
    <x v="45"/>
    <x v="45"/>
    <s v="B"/>
    <n v="253"/>
    <n v="253"/>
    <n v="213"/>
    <n v="40"/>
    <n v="211"/>
    <n v="2"/>
  </r>
  <r>
    <x v="45"/>
    <x v="45"/>
    <s v="C"/>
    <n v="945"/>
    <n v="537"/>
    <n v="475"/>
    <n v="62"/>
    <n v="469"/>
    <n v="6"/>
  </r>
  <r>
    <x v="45"/>
    <x v="45"/>
    <s v="CH"/>
    <n v="832"/>
    <n v="1163"/>
    <n v="1113"/>
    <n v="50"/>
    <n v="1100"/>
    <n v="13"/>
  </r>
  <r>
    <x v="45"/>
    <x v="45"/>
    <s v="D"/>
    <n v="935"/>
    <n v="889"/>
    <n v="559"/>
    <n v="330"/>
    <n v="523"/>
    <n v="36"/>
  </r>
  <r>
    <x v="45"/>
    <x v="45"/>
    <s v="E"/>
    <n v="480"/>
    <n v="987"/>
    <n v="860"/>
    <n v="127"/>
    <n v="821"/>
    <n v="39"/>
  </r>
  <r>
    <x v="45"/>
    <x v="45"/>
    <s v="F"/>
    <n v="286"/>
    <n v="1201"/>
    <n v="1086"/>
    <n v="115"/>
    <n v="1001"/>
    <n v="85"/>
  </r>
  <r>
    <x v="45"/>
    <x v="45"/>
    <s v="G"/>
    <n v="737"/>
    <n v="1027"/>
    <n v="902"/>
    <n v="125"/>
    <n v="833"/>
    <n v="69"/>
  </r>
  <r>
    <x v="46"/>
    <x v="46"/>
    <s v="A"/>
    <n v="694"/>
    <n v="1202"/>
    <n v="868"/>
    <n v="334"/>
    <n v="793"/>
    <n v="75"/>
  </r>
  <r>
    <x v="46"/>
    <x v="46"/>
    <s v="B"/>
    <n v="48"/>
    <n v="158"/>
    <n v="158"/>
    <n v="0"/>
    <n v="157"/>
    <n v="1"/>
  </r>
  <r>
    <x v="46"/>
    <x v="46"/>
    <s v="C"/>
    <n v="697"/>
    <n v="1375"/>
    <n v="1220"/>
    <n v="155"/>
    <n v="1200"/>
    <n v="20"/>
  </r>
  <r>
    <x v="46"/>
    <x v="46"/>
    <s v="CH"/>
    <n v="951"/>
    <n v="763"/>
    <n v="738"/>
    <n v="25"/>
    <n v="723"/>
    <n v="15"/>
  </r>
  <r>
    <x v="46"/>
    <x v="46"/>
    <s v="D"/>
    <n v="452"/>
    <n v="1124"/>
    <n v="990"/>
    <n v="134"/>
    <n v="890"/>
    <n v="100"/>
  </r>
  <r>
    <x v="46"/>
    <x v="46"/>
    <s v="E"/>
    <n v="890"/>
    <n v="1099"/>
    <n v="892"/>
    <n v="207"/>
    <n v="861"/>
    <n v="31"/>
  </r>
  <r>
    <x v="46"/>
    <x v="46"/>
    <s v="F"/>
    <n v="1099"/>
    <n v="528"/>
    <n v="380"/>
    <n v="148"/>
    <n v="325"/>
    <n v="55"/>
  </r>
  <r>
    <x v="46"/>
    <x v="46"/>
    <s v="G"/>
    <n v="663"/>
    <n v="557"/>
    <n v="494"/>
    <n v="63"/>
    <n v="445"/>
    <n v="49"/>
  </r>
  <r>
    <x v="47"/>
    <x v="47"/>
    <s v="A"/>
    <n v="693"/>
    <n v="613"/>
    <n v="595"/>
    <n v="18"/>
    <n v="547"/>
    <n v="48"/>
  </r>
  <r>
    <x v="47"/>
    <x v="47"/>
    <s v="C"/>
    <n v="0"/>
    <n v="158"/>
    <n v="128"/>
    <n v="30"/>
    <n v="122"/>
    <n v="6"/>
  </r>
  <r>
    <x v="47"/>
    <x v="47"/>
    <s v="D"/>
    <n v="935"/>
    <n v="293"/>
    <n v="261"/>
    <n v="32"/>
    <n v="231"/>
    <n v="30"/>
  </r>
  <r>
    <x v="47"/>
    <x v="47"/>
    <s v="E"/>
    <n v="288"/>
    <n v="412"/>
    <n v="287"/>
    <n v="125"/>
    <n v="269"/>
    <n v="18"/>
  </r>
  <r>
    <x v="47"/>
    <x v="47"/>
    <s v="F"/>
    <n v="286"/>
    <n v="1219"/>
    <n v="1058"/>
    <n v="161"/>
    <n v="982"/>
    <n v="76"/>
  </r>
  <r>
    <x v="47"/>
    <x v="47"/>
    <s v="G"/>
    <n v="737"/>
    <n v="1039"/>
    <n v="707"/>
    <n v="332"/>
    <n v="647"/>
    <n v="60"/>
  </r>
  <r>
    <x v="48"/>
    <x v="48"/>
    <s v="A"/>
    <n v="138"/>
    <n v="122"/>
    <n v="113"/>
    <n v="9"/>
    <n v="103"/>
    <n v="10"/>
  </r>
  <r>
    <x v="48"/>
    <x v="48"/>
    <s v="B"/>
    <n v="301"/>
    <n v="253"/>
    <n v="253"/>
    <n v="0"/>
    <n v="251"/>
    <n v="2"/>
  </r>
  <r>
    <x v="48"/>
    <x v="48"/>
    <s v="C"/>
    <n v="945"/>
    <n v="880"/>
    <n v="816"/>
    <n v="64"/>
    <n v="806"/>
    <n v="10"/>
  </r>
  <r>
    <x v="48"/>
    <x v="48"/>
    <s v="CH"/>
    <n v="1783"/>
    <n v="1165"/>
    <n v="1148"/>
    <n v="17"/>
    <n v="1130"/>
    <n v="18"/>
  </r>
  <r>
    <x v="48"/>
    <x v="48"/>
    <s v="D"/>
    <n v="452"/>
    <n v="437"/>
    <n v="391"/>
    <n v="46"/>
    <n v="369"/>
    <n v="22"/>
  </r>
  <r>
    <x v="48"/>
    <x v="48"/>
    <s v="E"/>
    <n v="450"/>
    <n v="641"/>
    <n v="636"/>
    <n v="5"/>
    <n v="592"/>
    <n v="44"/>
  </r>
  <r>
    <x v="48"/>
    <x v="48"/>
    <s v="F"/>
    <n v="0"/>
    <n v="354"/>
    <n v="250"/>
    <n v="104"/>
    <n v="237"/>
    <n v="13"/>
  </r>
  <r>
    <x v="48"/>
    <x v="48"/>
    <s v="G"/>
    <n v="0"/>
    <n v="413"/>
    <n v="382"/>
    <n v="31"/>
    <n v="360"/>
    <n v="22"/>
  </r>
  <r>
    <x v="49"/>
    <x v="49"/>
    <s v="A"/>
    <n v="697"/>
    <n v="1149"/>
    <n v="844"/>
    <n v="305"/>
    <n v="761"/>
    <n v="83"/>
  </r>
  <r>
    <x v="49"/>
    <x v="49"/>
    <s v="B"/>
    <n v="48"/>
    <n v="145"/>
    <n v="145"/>
    <n v="0"/>
    <n v="144"/>
    <n v="1"/>
  </r>
  <r>
    <x v="49"/>
    <x v="49"/>
    <s v="C"/>
    <n v="697"/>
    <n v="906"/>
    <n v="768"/>
    <n v="138"/>
    <n v="756"/>
    <n v="12"/>
  </r>
  <r>
    <x v="49"/>
    <x v="49"/>
    <s v="CH"/>
    <n v="832"/>
    <n v="677"/>
    <n v="677"/>
    <n v="0"/>
    <n v="665"/>
    <n v="12"/>
  </r>
  <r>
    <x v="49"/>
    <x v="49"/>
    <s v="D"/>
    <n v="352"/>
    <n v="1209"/>
    <n v="968"/>
    <n v="241"/>
    <n v="863"/>
    <n v="105"/>
  </r>
  <r>
    <x v="49"/>
    <x v="49"/>
    <s v="E"/>
    <n v="890"/>
    <n v="902"/>
    <n v="770"/>
    <n v="132"/>
    <n v="700"/>
    <n v="70"/>
  </r>
  <r>
    <x v="49"/>
    <x v="49"/>
    <s v="F"/>
    <n v="1099"/>
    <n v="228"/>
    <n v="154"/>
    <n v="74"/>
    <n v="122"/>
    <n v="32"/>
  </r>
  <r>
    <x v="49"/>
    <x v="49"/>
    <s v="G"/>
    <n v="663"/>
    <n v="557"/>
    <n v="458"/>
    <n v="99"/>
    <n v="414"/>
    <n v="44"/>
  </r>
  <r>
    <x v="50"/>
    <x v="50"/>
    <s v="A"/>
    <n v="690"/>
    <n v="736"/>
    <n v="644"/>
    <n v="92"/>
    <n v="590"/>
    <n v="54"/>
  </r>
  <r>
    <x v="50"/>
    <x v="50"/>
    <s v="B"/>
    <n v="253"/>
    <n v="158"/>
    <n v="158"/>
    <n v="0"/>
    <n v="158"/>
    <n v="0"/>
  </r>
  <r>
    <x v="50"/>
    <x v="50"/>
    <s v="C"/>
    <n v="945"/>
    <n v="848"/>
    <n v="774"/>
    <n v="74"/>
    <n v="762"/>
    <n v="12"/>
  </r>
  <r>
    <x v="50"/>
    <x v="50"/>
    <s v="CH"/>
    <n v="951"/>
    <n v="1166"/>
    <n v="1155"/>
    <n v="11"/>
    <n v="1147"/>
    <n v="8"/>
  </r>
  <r>
    <x v="50"/>
    <x v="50"/>
    <s v="D"/>
    <n v="1035"/>
    <n v="386"/>
    <n v="287"/>
    <n v="99"/>
    <n v="263"/>
    <n v="24"/>
  </r>
  <r>
    <x v="50"/>
    <x v="50"/>
    <s v="E"/>
    <n v="510"/>
    <n v="797"/>
    <n v="654"/>
    <n v="143"/>
    <n v="615"/>
    <n v="39"/>
  </r>
  <r>
    <x v="50"/>
    <x v="50"/>
    <s v="F"/>
    <n v="286"/>
    <n v="1493"/>
    <n v="1038"/>
    <n v="455"/>
    <n v="953"/>
    <n v="85"/>
  </r>
  <r>
    <x v="50"/>
    <x v="50"/>
    <s v="G"/>
    <n v="737"/>
    <n v="858"/>
    <n v="721"/>
    <n v="137"/>
    <n v="660"/>
    <n v="61"/>
  </r>
  <r>
    <x v="51"/>
    <x v="51"/>
    <s v="A"/>
    <n v="697"/>
    <n v="962"/>
    <n v="811"/>
    <n v="151"/>
    <n v="761"/>
    <n v="50"/>
  </r>
  <r>
    <x v="51"/>
    <x v="51"/>
    <s v="B"/>
    <n v="48"/>
    <n v="144"/>
    <n v="133"/>
    <n v="11"/>
    <n v="132"/>
    <n v="1"/>
  </r>
  <r>
    <x v="51"/>
    <x v="51"/>
    <s v="C"/>
    <n v="697"/>
    <n v="1261"/>
    <n v="1173"/>
    <n v="88"/>
    <n v="1096"/>
    <n v="77"/>
  </r>
  <r>
    <x v="51"/>
    <x v="51"/>
    <s v="CH"/>
    <n v="832"/>
    <n v="655"/>
    <n v="655"/>
    <n v="0"/>
    <n v="649"/>
    <n v="6"/>
  </r>
  <r>
    <x v="51"/>
    <x v="51"/>
    <s v="D"/>
    <n v="352"/>
    <n v="1265"/>
    <n v="1226"/>
    <n v="39"/>
    <n v="1002"/>
    <n v="224"/>
  </r>
  <r>
    <x v="51"/>
    <x v="51"/>
    <s v="E"/>
    <n v="896"/>
    <n v="1108"/>
    <n v="913"/>
    <n v="195"/>
    <n v="862"/>
    <n v="51"/>
  </r>
  <r>
    <x v="51"/>
    <x v="51"/>
    <s v="F"/>
    <n v="1099"/>
    <n v="566"/>
    <n v="409"/>
    <n v="157"/>
    <n v="362"/>
    <n v="47"/>
  </r>
  <r>
    <x v="51"/>
    <x v="51"/>
    <s v="G"/>
    <n v="663"/>
    <n v="787"/>
    <n v="769"/>
    <n v="18"/>
    <n v="702"/>
    <n v="67"/>
  </r>
  <r>
    <x v="52"/>
    <x v="52"/>
    <s v="A"/>
    <n v="690"/>
    <n v="819"/>
    <n v="725"/>
    <n v="94"/>
    <n v="662"/>
    <n v="63"/>
  </r>
  <r>
    <x v="52"/>
    <x v="52"/>
    <s v="B"/>
    <n v="253"/>
    <n v="171"/>
    <n v="167"/>
    <n v="4"/>
    <n v="167"/>
    <n v="0"/>
  </r>
  <r>
    <x v="52"/>
    <x v="52"/>
    <s v="C"/>
    <n v="945"/>
    <n v="595"/>
    <n v="543"/>
    <n v="52"/>
    <n v="537"/>
    <n v="6"/>
  </r>
  <r>
    <x v="52"/>
    <x v="52"/>
    <s v="CH"/>
    <n v="951"/>
    <n v="1168"/>
    <n v="1095"/>
    <n v="73"/>
    <n v="1082"/>
    <n v="13"/>
  </r>
  <r>
    <x v="52"/>
    <x v="52"/>
    <s v="D"/>
    <n v="1035"/>
    <n v="411"/>
    <n v="381"/>
    <n v="30"/>
    <n v="356"/>
    <n v="25"/>
  </r>
  <r>
    <x v="52"/>
    <x v="52"/>
    <s v="E"/>
    <n v="474"/>
    <n v="973"/>
    <n v="821"/>
    <n v="152"/>
    <n v="776"/>
    <n v="45"/>
  </r>
  <r>
    <x v="52"/>
    <x v="52"/>
    <s v="F"/>
    <n v="286"/>
    <n v="1287"/>
    <n v="1232"/>
    <n v="55"/>
    <n v="1108"/>
    <n v="124"/>
  </r>
  <r>
    <x v="52"/>
    <x v="52"/>
    <s v="G"/>
    <n v="737"/>
    <n v="798"/>
    <n v="682"/>
    <n v="116"/>
    <n v="641"/>
    <n v="41"/>
  </r>
  <r>
    <x v="53"/>
    <x v="53"/>
    <s v="A"/>
    <n v="697"/>
    <n v="972"/>
    <n v="748"/>
    <n v="224"/>
    <n v="666"/>
    <n v="82"/>
  </r>
  <r>
    <x v="53"/>
    <x v="53"/>
    <s v="B"/>
    <n v="48"/>
    <n v="144"/>
    <n v="144"/>
    <n v="0"/>
    <n v="142"/>
    <n v="2"/>
  </r>
  <r>
    <x v="53"/>
    <x v="53"/>
    <s v="C"/>
    <n v="697"/>
    <n v="1399"/>
    <n v="1174"/>
    <n v="225"/>
    <n v="1152"/>
    <n v="22"/>
  </r>
  <r>
    <x v="53"/>
    <x v="53"/>
    <s v="CH"/>
    <n v="832"/>
    <n v="736"/>
    <n v="736"/>
    <n v="0"/>
    <n v="719"/>
    <n v="17"/>
  </r>
  <r>
    <x v="53"/>
    <x v="53"/>
    <s v="D"/>
    <n v="352"/>
    <n v="1209"/>
    <n v="961"/>
    <n v="248"/>
    <n v="877"/>
    <n v="84"/>
  </r>
  <r>
    <x v="53"/>
    <x v="53"/>
    <s v="E"/>
    <n v="926"/>
    <n v="899"/>
    <n v="875"/>
    <n v="24"/>
    <n v="844"/>
    <n v="31"/>
  </r>
  <r>
    <x v="53"/>
    <x v="53"/>
    <s v="F"/>
    <n v="1099"/>
    <n v="516"/>
    <n v="477"/>
    <n v="39"/>
    <n v="409"/>
    <n v="68"/>
  </r>
  <r>
    <x v="53"/>
    <x v="53"/>
    <s v="G"/>
    <n v="663"/>
    <n v="727"/>
    <n v="675"/>
    <n v="52"/>
    <n v="610"/>
    <n v="65"/>
  </r>
  <r>
    <x v="54"/>
    <x v="54"/>
    <s v="A"/>
    <n v="690"/>
    <n v="858"/>
    <n v="724"/>
    <n v="134"/>
    <n v="677"/>
    <n v="47"/>
  </r>
  <r>
    <x v="54"/>
    <x v="54"/>
    <s v="B"/>
    <n v="0"/>
    <n v="4"/>
    <n v="4"/>
    <n v="0"/>
    <n v="4"/>
    <n v="0"/>
  </r>
  <r>
    <x v="54"/>
    <x v="54"/>
    <s v="C"/>
    <n v="0"/>
    <n v="209"/>
    <n v="209"/>
    <n v="0"/>
    <n v="192"/>
    <n v="17"/>
  </r>
  <r>
    <x v="54"/>
    <x v="54"/>
    <s v="D"/>
    <n v="935"/>
    <n v="458"/>
    <n v="368"/>
    <n v="90"/>
    <n v="337"/>
    <n v="31"/>
  </r>
  <r>
    <x v="54"/>
    <x v="54"/>
    <s v="E"/>
    <n v="288"/>
    <n v="311"/>
    <n v="263"/>
    <n v="48"/>
    <n v="241"/>
    <n v="22"/>
  </r>
  <r>
    <x v="54"/>
    <x v="54"/>
    <s v="F"/>
    <n v="286"/>
    <n v="1033"/>
    <n v="767"/>
    <n v="266"/>
    <n v="700"/>
    <n v="67"/>
  </r>
  <r>
    <x v="54"/>
    <x v="54"/>
    <s v="G"/>
    <n v="737"/>
    <n v="734"/>
    <n v="671"/>
    <n v="63"/>
    <n v="621"/>
    <n v="50"/>
  </r>
  <r>
    <x v="55"/>
    <x v="55"/>
    <s v="A"/>
    <n v="141"/>
    <n v="135"/>
    <n v="118"/>
    <n v="17"/>
    <n v="111"/>
    <n v="7"/>
  </r>
  <r>
    <x v="55"/>
    <x v="55"/>
    <s v="B"/>
    <n v="301"/>
    <n v="255"/>
    <n v="230"/>
    <n v="25"/>
    <n v="229"/>
    <n v="1"/>
  </r>
  <r>
    <x v="55"/>
    <x v="55"/>
    <s v="C"/>
    <n v="945"/>
    <n v="852"/>
    <n v="756"/>
    <n v="96"/>
    <n v="725"/>
    <n v="31"/>
  </r>
  <r>
    <x v="55"/>
    <x v="55"/>
    <s v="CH"/>
    <n v="1783"/>
    <n v="1170"/>
    <n v="1110"/>
    <n v="60"/>
    <n v="1103"/>
    <n v="7"/>
  </r>
  <r>
    <x v="55"/>
    <x v="55"/>
    <s v="D"/>
    <n v="452"/>
    <n v="214"/>
    <n v="182"/>
    <n v="32"/>
    <n v="164"/>
    <n v="18"/>
  </r>
  <r>
    <x v="55"/>
    <x v="55"/>
    <s v="E"/>
    <n v="414"/>
    <n v="1035"/>
    <n v="1001"/>
    <n v="34"/>
    <n v="973"/>
    <n v="28"/>
  </r>
  <r>
    <x v="55"/>
    <x v="55"/>
    <s v="F"/>
    <n v="0"/>
    <n v="306"/>
    <n v="252"/>
    <n v="54"/>
    <n v="226"/>
    <n v="26"/>
  </r>
  <r>
    <x v="55"/>
    <x v="55"/>
    <s v="G"/>
    <n v="0"/>
    <n v="301"/>
    <n v="286"/>
    <n v="15"/>
    <n v="269"/>
    <n v="17"/>
  </r>
  <r>
    <x v="56"/>
    <x v="56"/>
    <s v="A"/>
    <n v="694"/>
    <n v="1051"/>
    <n v="804"/>
    <n v="247"/>
    <n v="715"/>
    <n v="89"/>
  </r>
  <r>
    <x v="56"/>
    <x v="56"/>
    <s v="B"/>
    <n v="48"/>
    <n v="74"/>
    <n v="74"/>
    <n v="0"/>
    <n v="74"/>
    <n v="0"/>
  </r>
  <r>
    <x v="56"/>
    <x v="56"/>
    <s v="C"/>
    <n v="697"/>
    <n v="1225"/>
    <n v="897"/>
    <n v="328"/>
    <n v="872"/>
    <n v="25"/>
  </r>
  <r>
    <x v="56"/>
    <x v="56"/>
    <s v="CH"/>
    <n v="951"/>
    <n v="709"/>
    <n v="709"/>
    <n v="0"/>
    <n v="701"/>
    <n v="8"/>
  </r>
  <r>
    <x v="56"/>
    <x v="56"/>
    <s v="D"/>
    <n v="452"/>
    <n v="1054"/>
    <n v="742"/>
    <n v="312"/>
    <n v="673"/>
    <n v="69"/>
  </r>
  <r>
    <x v="56"/>
    <x v="56"/>
    <s v="E"/>
    <n v="926"/>
    <n v="854"/>
    <n v="705"/>
    <n v="149"/>
    <n v="679"/>
    <n v="26"/>
  </r>
  <r>
    <x v="56"/>
    <x v="56"/>
    <s v="F"/>
    <n v="1099"/>
    <n v="742"/>
    <n v="371"/>
    <n v="371"/>
    <n v="330"/>
    <n v="41"/>
  </r>
  <r>
    <x v="56"/>
    <x v="56"/>
    <s v="G"/>
    <n v="663"/>
    <n v="760"/>
    <n v="497"/>
    <n v="263"/>
    <n v="452"/>
    <n v="45"/>
  </r>
  <r>
    <x v="57"/>
    <x v="57"/>
    <s v="A"/>
    <n v="693"/>
    <n v="541"/>
    <n v="499"/>
    <n v="42"/>
    <n v="458"/>
    <n v="41"/>
  </r>
  <r>
    <x v="57"/>
    <x v="57"/>
    <s v="B"/>
    <n v="253"/>
    <n v="253"/>
    <n v="251"/>
    <n v="2"/>
    <n v="244"/>
    <n v="7"/>
  </r>
  <r>
    <x v="57"/>
    <x v="57"/>
    <s v="C"/>
    <n v="945"/>
    <n v="614"/>
    <n v="542"/>
    <n v="72"/>
    <n v="529"/>
    <n v="13"/>
  </r>
  <r>
    <x v="57"/>
    <x v="57"/>
    <s v="CH"/>
    <n v="832"/>
    <n v="1167"/>
    <n v="1140"/>
    <n v="27"/>
    <n v="1129"/>
    <n v="11"/>
  </r>
  <r>
    <x v="57"/>
    <x v="57"/>
    <s v="D"/>
    <n v="935"/>
    <n v="689"/>
    <n v="480"/>
    <n v="209"/>
    <n v="441"/>
    <n v="39"/>
  </r>
  <r>
    <x v="57"/>
    <x v="57"/>
    <s v="E"/>
    <n v="480"/>
    <n v="338"/>
    <n v="298"/>
    <n v="40"/>
    <n v="277"/>
    <n v="21"/>
  </r>
  <r>
    <x v="57"/>
    <x v="57"/>
    <s v="F"/>
    <n v="286"/>
    <n v="1070"/>
    <n v="756"/>
    <n v="314"/>
    <n v="693"/>
    <n v="63"/>
  </r>
  <r>
    <x v="57"/>
    <x v="57"/>
    <s v="G"/>
    <n v="737"/>
    <n v="1041"/>
    <n v="707"/>
    <n v="334"/>
    <n v="659"/>
    <n v="48"/>
  </r>
  <r>
    <x v="58"/>
    <x v="58"/>
    <s v="A"/>
    <n v="522"/>
    <n v="1163"/>
    <n v="957"/>
    <n v="206"/>
    <n v="873"/>
    <n v="84"/>
  </r>
  <r>
    <x v="58"/>
    <x v="58"/>
    <s v="B"/>
    <n v="48"/>
    <n v="52"/>
    <n v="52"/>
    <n v="0"/>
    <n v="52"/>
    <n v="0"/>
  </r>
  <r>
    <x v="58"/>
    <x v="58"/>
    <s v="C"/>
    <n v="843"/>
    <n v="1142"/>
    <n v="1063"/>
    <n v="79"/>
    <n v="985"/>
    <n v="78"/>
  </r>
  <r>
    <x v="58"/>
    <x v="58"/>
    <s v="CH"/>
    <n v="795"/>
    <n v="678"/>
    <n v="673"/>
    <n v="6"/>
    <n v="665"/>
    <n v="8"/>
  </r>
  <r>
    <x v="58"/>
    <x v="58"/>
    <s v="D"/>
    <n v="445"/>
    <n v="968"/>
    <n v="730"/>
    <n v="238"/>
    <n v="654"/>
    <n v="76"/>
  </r>
  <r>
    <x v="58"/>
    <x v="58"/>
    <s v="E"/>
    <n v="946"/>
    <n v="994"/>
    <n v="879"/>
    <n v="115"/>
    <n v="848"/>
    <n v="31"/>
  </r>
  <r>
    <x v="58"/>
    <x v="58"/>
    <s v="F"/>
    <n v="1097"/>
    <n v="701"/>
    <n v="388"/>
    <n v="313"/>
    <n v="330"/>
    <n v="58"/>
  </r>
  <r>
    <x v="58"/>
    <x v="58"/>
    <s v="G"/>
    <n v="664"/>
    <n v="441"/>
    <n v="357"/>
    <n v="84"/>
    <n v="333"/>
    <n v="24"/>
  </r>
  <r>
    <x v="59"/>
    <x v="59"/>
    <s v="A"/>
    <n v="865"/>
    <n v="682"/>
    <n v="530"/>
    <n v="152"/>
    <n v="472"/>
    <n v="58"/>
  </r>
  <r>
    <x v="59"/>
    <x v="59"/>
    <s v="B"/>
    <n v="253"/>
    <n v="229"/>
    <n v="231"/>
    <n v="22"/>
    <n v="229"/>
    <n v="2"/>
  </r>
  <r>
    <x v="59"/>
    <x v="59"/>
    <s v="C"/>
    <n v="801"/>
    <n v="438"/>
    <n v="370"/>
    <n v="68"/>
    <n v="362"/>
    <n v="8"/>
  </r>
  <r>
    <x v="59"/>
    <x v="59"/>
    <s v="CH"/>
    <n v="949"/>
    <n v="1160"/>
    <n v="1160"/>
    <n v="9"/>
    <n v="1150"/>
    <n v="10"/>
  </r>
  <r>
    <x v="59"/>
    <x v="59"/>
    <s v="D"/>
    <n v="946"/>
    <n v="782"/>
    <n v="561"/>
    <n v="223"/>
    <n v="492"/>
    <n v="69"/>
  </r>
  <r>
    <x v="59"/>
    <x v="59"/>
    <s v="E"/>
    <n v="454"/>
    <n v="687"/>
    <n v="510"/>
    <n v="177"/>
    <n v="491"/>
    <n v="19"/>
  </r>
  <r>
    <x v="59"/>
    <x v="59"/>
    <s v="F"/>
    <n v="285"/>
    <n v="1291"/>
    <n v="1035"/>
    <n v="256"/>
    <n v="941"/>
    <n v="94"/>
  </r>
  <r>
    <x v="59"/>
    <x v="59"/>
    <s v="G"/>
    <n v="742"/>
    <n v="795"/>
    <n v="638"/>
    <n v="157"/>
    <n v="581"/>
    <n v="57"/>
  </r>
  <r>
    <x v="60"/>
    <x v="60"/>
    <s v="A"/>
    <n v="522"/>
    <n v="894"/>
    <n v="819"/>
    <n v="76"/>
    <n v="749"/>
    <n v="70"/>
  </r>
  <r>
    <x v="60"/>
    <x v="60"/>
    <s v="B"/>
    <n v="48"/>
    <n v="71"/>
    <n v="71"/>
    <n v="1"/>
    <n v="71"/>
    <n v="0"/>
  </r>
  <r>
    <x v="60"/>
    <x v="60"/>
    <s v="C"/>
    <n v="843"/>
    <n v="1209"/>
    <n v="938"/>
    <n v="271"/>
    <n v="932"/>
    <n v="6"/>
  </r>
  <r>
    <x v="60"/>
    <x v="60"/>
    <s v="CH"/>
    <n v="795"/>
    <n v="670"/>
    <n v="584"/>
    <n v="86"/>
    <n v="582"/>
    <n v="2"/>
  </r>
  <r>
    <x v="60"/>
    <x v="60"/>
    <s v="D"/>
    <n v="445"/>
    <n v="1225"/>
    <n v="1083"/>
    <n v="144"/>
    <n v="982"/>
    <n v="101"/>
  </r>
  <r>
    <x v="60"/>
    <x v="60"/>
    <s v="E"/>
    <n v="952"/>
    <n v="1086"/>
    <n v="948"/>
    <n v="138"/>
    <n v="928"/>
    <n v="20"/>
  </r>
  <r>
    <x v="60"/>
    <x v="60"/>
    <s v="F"/>
    <n v="1097"/>
    <n v="391"/>
    <n v="300"/>
    <n v="91"/>
    <n v="258"/>
    <n v="42"/>
  </r>
  <r>
    <x v="60"/>
    <x v="60"/>
    <s v="G"/>
    <n v="664"/>
    <n v="779"/>
    <n v="605"/>
    <n v="174"/>
    <n v="557"/>
    <n v="48"/>
  </r>
  <r>
    <x v="61"/>
    <x v="61"/>
    <s v="A"/>
    <n v="781"/>
    <n v="487"/>
    <n v="314"/>
    <n v="173"/>
    <n v="278"/>
    <n v="36"/>
  </r>
  <r>
    <x v="61"/>
    <x v="61"/>
    <s v="B"/>
    <n v="0"/>
    <n v="0"/>
    <n v="0"/>
    <n v="0"/>
    <n v="0"/>
    <n v="0"/>
  </r>
  <r>
    <x v="61"/>
    <x v="61"/>
    <s v="C"/>
    <n v="0"/>
    <n v="219"/>
    <n v="218"/>
    <n v="1"/>
    <n v="205"/>
    <n v="13"/>
  </r>
  <r>
    <x v="61"/>
    <x v="61"/>
    <s v="CH"/>
    <n v="0"/>
    <n v="0"/>
    <n v="0"/>
    <n v="0"/>
    <n v="0"/>
    <n v="0"/>
  </r>
  <r>
    <x v="61"/>
    <x v="61"/>
    <s v="D"/>
    <n v="946"/>
    <n v="564"/>
    <n v="428"/>
    <n v="136"/>
    <n v="379"/>
    <n v="49"/>
  </r>
  <r>
    <x v="61"/>
    <x v="61"/>
    <s v="E"/>
    <n v="231"/>
    <n v="288"/>
    <n v="255"/>
    <n v="33"/>
    <n v="223"/>
    <n v="32"/>
  </r>
  <r>
    <x v="61"/>
    <x v="61"/>
    <s v="F"/>
    <n v="285"/>
    <n v="1368"/>
    <n v="1121"/>
    <n v="247"/>
    <n v="971"/>
    <n v="150"/>
  </r>
  <r>
    <x v="61"/>
    <x v="61"/>
    <s v="G"/>
    <n v="742"/>
    <n v="856"/>
    <n v="523"/>
    <n v="333"/>
    <n v="480"/>
    <n v="43"/>
  </r>
  <r>
    <x v="62"/>
    <x v="62"/>
    <s v="A"/>
    <n v="223"/>
    <n v="450"/>
    <n v="357"/>
    <n v="93"/>
    <n v="308"/>
    <n v="49"/>
  </r>
  <r>
    <x v="62"/>
    <x v="62"/>
    <s v="B"/>
    <n v="301"/>
    <n v="188"/>
    <n v="189"/>
    <n v="65"/>
    <n v="188"/>
    <n v="1"/>
  </r>
  <r>
    <x v="62"/>
    <x v="62"/>
    <s v="C"/>
    <n v="801"/>
    <n v="975"/>
    <n v="865"/>
    <n v="110"/>
    <n v="846"/>
    <n v="19"/>
  </r>
  <r>
    <x v="62"/>
    <x v="62"/>
    <s v="CH"/>
    <n v="1744"/>
    <n v="1161"/>
    <n v="1152"/>
    <n v="11"/>
    <n v="1137"/>
    <n v="15"/>
  </r>
  <r>
    <x v="62"/>
    <x v="62"/>
    <s v="D"/>
    <n v="445"/>
    <n v="102"/>
    <n v="102"/>
    <n v="0"/>
    <n v="78"/>
    <n v="24"/>
  </r>
  <r>
    <x v="62"/>
    <x v="62"/>
    <s v="E"/>
    <n v="445"/>
    <n v="525"/>
    <n v="425"/>
    <n v="100"/>
    <n v="316"/>
    <n v="109"/>
  </r>
  <r>
    <x v="62"/>
    <x v="62"/>
    <s v="F"/>
    <n v="0"/>
    <n v="366"/>
    <n v="176"/>
    <n v="190"/>
    <n v="164"/>
    <n v="12"/>
  </r>
  <r>
    <x v="62"/>
    <x v="62"/>
    <s v="G"/>
    <n v="0"/>
    <n v="486"/>
    <n v="229"/>
    <n v="257"/>
    <n v="207"/>
    <n v="22"/>
  </r>
  <r>
    <x v="63"/>
    <x v="63"/>
    <s v="A"/>
    <n v="524"/>
    <n v="1114"/>
    <n v="739"/>
    <n v="375"/>
    <n v="681"/>
    <n v="58"/>
  </r>
  <r>
    <x v="63"/>
    <x v="63"/>
    <s v="B"/>
    <n v="48"/>
    <n v="192"/>
    <n v="193"/>
    <n v="31"/>
    <n v="192"/>
    <n v="1"/>
  </r>
  <r>
    <x v="63"/>
    <x v="63"/>
    <s v="C"/>
    <n v="843"/>
    <n v="1038"/>
    <n v="905"/>
    <n v="133"/>
    <n v="863"/>
    <n v="42"/>
  </r>
  <r>
    <x v="63"/>
    <x v="63"/>
    <s v="CH"/>
    <n v="949"/>
    <n v="659"/>
    <n v="659"/>
    <n v="0"/>
    <n v="653"/>
    <n v="6"/>
  </r>
  <r>
    <x v="63"/>
    <x v="63"/>
    <s v="D"/>
    <n v="360"/>
    <n v="1274"/>
    <n v="795"/>
    <n v="481"/>
    <n v="729"/>
    <n v="66"/>
  </r>
  <r>
    <x v="63"/>
    <x v="63"/>
    <s v="E"/>
    <n v="952"/>
    <n v="1041"/>
    <n v="905"/>
    <n v="151"/>
    <n v="892"/>
    <n v="13"/>
  </r>
  <r>
    <x v="63"/>
    <x v="63"/>
    <s v="F"/>
    <n v="1097"/>
    <n v="324"/>
    <n v="244"/>
    <n v="80"/>
    <n v="215"/>
    <n v="29"/>
  </r>
  <r>
    <x v="63"/>
    <x v="63"/>
    <s v="G"/>
    <n v="664"/>
    <n v="721"/>
    <n v="418"/>
    <n v="303"/>
    <n v="380"/>
    <n v="38"/>
  </r>
  <r>
    <x v="64"/>
    <x v="64"/>
    <s v="A"/>
    <n v="863"/>
    <n v="649"/>
    <n v="408"/>
    <n v="241"/>
    <n v="365"/>
    <n v="43"/>
  </r>
  <r>
    <x v="64"/>
    <x v="64"/>
    <s v="B"/>
    <n v="253"/>
    <n v="231"/>
    <n v="234"/>
    <n v="19"/>
    <n v="231"/>
    <n v="3"/>
  </r>
  <r>
    <x v="64"/>
    <x v="64"/>
    <s v="C"/>
    <n v="801"/>
    <n v="987"/>
    <n v="987"/>
    <n v="0"/>
    <n v="973"/>
    <n v="14"/>
  </r>
  <r>
    <x v="64"/>
    <x v="64"/>
    <s v="CH"/>
    <n v="795"/>
    <n v="1167"/>
    <n v="1002"/>
    <n v="165"/>
    <n v="996"/>
    <n v="6"/>
  </r>
  <r>
    <x v="64"/>
    <x v="64"/>
    <s v="D"/>
    <n v="1031"/>
    <n v="653"/>
    <n v="553"/>
    <n v="100"/>
    <n v="480"/>
    <n v="73"/>
  </r>
  <r>
    <x v="64"/>
    <x v="64"/>
    <s v="E"/>
    <n v="416"/>
    <n v="703"/>
    <n v="623"/>
    <n v="100"/>
    <n v="537"/>
    <n v="86"/>
  </r>
  <r>
    <x v="64"/>
    <x v="64"/>
    <s v="F"/>
    <n v="285"/>
    <n v="1065"/>
    <n v="732"/>
    <n v="333"/>
    <n v="672"/>
    <n v="60"/>
  </r>
  <r>
    <x v="64"/>
    <x v="64"/>
    <s v="G"/>
    <n v="742"/>
    <n v="737"/>
    <n v="505"/>
    <n v="232"/>
    <n v="479"/>
    <n v="26"/>
  </r>
  <r>
    <x v="65"/>
    <x v="65"/>
    <s v="A"/>
    <n v="524"/>
    <n v="1178"/>
    <n v="936"/>
    <n v="242"/>
    <n v="859"/>
    <n v="77"/>
  </r>
  <r>
    <x v="65"/>
    <x v="65"/>
    <s v="B"/>
    <n v="48"/>
    <n v="71"/>
    <n v="71"/>
    <n v="0"/>
    <n v="71"/>
    <n v="0"/>
  </r>
  <r>
    <x v="65"/>
    <x v="65"/>
    <s v="C"/>
    <n v="843"/>
    <n v="698"/>
    <n v="687"/>
    <n v="11"/>
    <n v="672"/>
    <n v="15"/>
  </r>
  <r>
    <x v="65"/>
    <x v="65"/>
    <s v="CH"/>
    <n v="949"/>
    <n v="821"/>
    <n v="821"/>
    <n v="0"/>
    <n v="814"/>
    <n v="7"/>
  </r>
  <r>
    <x v="65"/>
    <x v="65"/>
    <s v="D"/>
    <n v="360"/>
    <n v="1076"/>
    <n v="793"/>
    <n v="283"/>
    <n v="742"/>
    <n v="51"/>
  </r>
  <r>
    <x v="65"/>
    <x v="65"/>
    <s v="E"/>
    <n v="984"/>
    <n v="1085"/>
    <n v="858"/>
    <n v="227"/>
    <n v="839"/>
    <n v="19"/>
  </r>
  <r>
    <x v="65"/>
    <x v="65"/>
    <s v="F"/>
    <n v="1097"/>
    <n v="713"/>
    <n v="554"/>
    <n v="159"/>
    <n v="472"/>
    <n v="82"/>
  </r>
  <r>
    <x v="65"/>
    <x v="65"/>
    <s v="G"/>
    <n v="664"/>
    <n v="1043"/>
    <n v="672"/>
    <n v="371"/>
    <n v="622"/>
    <n v="50"/>
  </r>
  <r>
    <x v="66"/>
    <x v="66"/>
    <s v="A"/>
    <n v="863"/>
    <n v="743"/>
    <n v="510"/>
    <n v="233"/>
    <n v="450"/>
    <n v="60"/>
  </r>
  <r>
    <x v="66"/>
    <x v="66"/>
    <s v="B"/>
    <n v="253"/>
    <n v="252"/>
    <n v="253"/>
    <n v="0"/>
    <n v="252"/>
    <n v="1"/>
  </r>
  <r>
    <x v="66"/>
    <x v="66"/>
    <s v="C"/>
    <n v="801"/>
    <n v="875"/>
    <n v="845"/>
    <n v="30"/>
    <n v="837"/>
    <n v="8"/>
  </r>
  <r>
    <x v="66"/>
    <x v="66"/>
    <s v="CH"/>
    <n v="785"/>
    <n v="1074"/>
    <n v="1074"/>
    <n v="0"/>
    <n v="1060"/>
    <n v="14"/>
  </r>
  <r>
    <x v="66"/>
    <x v="66"/>
    <s v="D"/>
    <n v="1031"/>
    <n v="630"/>
    <n v="516"/>
    <n v="114"/>
    <n v="469"/>
    <n v="47"/>
  </r>
  <r>
    <x v="66"/>
    <x v="66"/>
    <s v="E"/>
    <n v="422"/>
    <n v="495"/>
    <n v="423"/>
    <n v="72"/>
    <n v="404"/>
    <n v="19"/>
  </r>
  <r>
    <x v="66"/>
    <x v="66"/>
    <s v="F"/>
    <n v="285"/>
    <n v="1284"/>
    <n v="832"/>
    <n v="452"/>
    <n v="754"/>
    <n v="78"/>
  </r>
  <r>
    <x v="66"/>
    <x v="66"/>
    <s v="G"/>
    <n v="742"/>
    <n v="936"/>
    <n v="627"/>
    <n v="309"/>
    <n v="562"/>
    <n v="65"/>
  </r>
  <r>
    <x v="67"/>
    <x v="67"/>
    <s v="A"/>
    <n v="524"/>
    <n v="1001"/>
    <n v="842"/>
    <n v="159"/>
    <n v="779"/>
    <n v="63"/>
  </r>
  <r>
    <x v="67"/>
    <x v="67"/>
    <s v="B"/>
    <n v="48"/>
    <n v="48"/>
    <n v="48"/>
    <n v="0"/>
    <n v="48"/>
    <n v="0"/>
  </r>
  <r>
    <x v="67"/>
    <x v="67"/>
    <s v="C"/>
    <n v="843"/>
    <n v="836"/>
    <n v="789"/>
    <n v="47"/>
    <n v="763"/>
    <n v="26"/>
  </r>
  <r>
    <x v="67"/>
    <x v="67"/>
    <s v="CH"/>
    <n v="949"/>
    <n v="745"/>
    <n v="745"/>
    <n v="0"/>
    <n v="735"/>
    <n v="10"/>
  </r>
  <r>
    <x v="67"/>
    <x v="67"/>
    <s v="D"/>
    <n v="360"/>
    <n v="723"/>
    <n v="659"/>
    <n v="64"/>
    <n v="603"/>
    <n v="56"/>
  </r>
  <r>
    <x v="67"/>
    <x v="67"/>
    <s v="E"/>
    <n v="946"/>
    <n v="1275"/>
    <n v="1130"/>
    <n v="146"/>
    <n v="1081"/>
    <n v="49"/>
  </r>
  <r>
    <x v="67"/>
    <x v="67"/>
    <s v="F"/>
    <n v="1097"/>
    <n v="788"/>
    <n v="682"/>
    <n v="106"/>
    <n v="603"/>
    <n v="79"/>
  </r>
  <r>
    <x v="67"/>
    <x v="67"/>
    <s v="G"/>
    <n v="664"/>
    <n v="732"/>
    <n v="517"/>
    <n v="215"/>
    <n v="456"/>
    <n v="61"/>
  </r>
  <r>
    <x v="68"/>
    <x v="68"/>
    <s v="A"/>
    <n v="779"/>
    <n v="717"/>
    <n v="623"/>
    <n v="94"/>
    <n v="565"/>
    <n v="58"/>
  </r>
  <r>
    <x v="68"/>
    <x v="68"/>
    <s v="B"/>
    <n v="0"/>
    <n v="0"/>
    <n v="0"/>
    <n v="0"/>
    <n v="0"/>
    <n v="0"/>
  </r>
  <r>
    <x v="68"/>
    <x v="68"/>
    <s v="C"/>
    <n v="0"/>
    <n v="0"/>
    <n v="0"/>
    <n v="0"/>
    <n v="0"/>
    <n v="0"/>
  </r>
  <r>
    <x v="68"/>
    <x v="68"/>
    <s v="CH"/>
    <n v="0"/>
    <n v="0"/>
    <n v="0"/>
    <n v="0"/>
    <n v="0"/>
    <n v="0"/>
  </r>
  <r>
    <x v="68"/>
    <x v="68"/>
    <s v="D"/>
    <n v="931"/>
    <n v="890"/>
    <n v="862"/>
    <n v="28"/>
    <n v="739"/>
    <n v="123"/>
  </r>
  <r>
    <x v="68"/>
    <x v="68"/>
    <s v="E"/>
    <n v="231"/>
    <n v="278"/>
    <n v="162"/>
    <n v="116"/>
    <n v="149"/>
    <n v="13"/>
  </r>
  <r>
    <x v="68"/>
    <x v="68"/>
    <s v="F"/>
    <n v="285"/>
    <n v="950"/>
    <n v="825"/>
    <n v="125"/>
    <n v="749"/>
    <n v="76"/>
  </r>
  <r>
    <x v="68"/>
    <x v="68"/>
    <s v="G"/>
    <n v="742"/>
    <n v="750"/>
    <n v="630"/>
    <n v="120"/>
    <n v="583"/>
    <n v="47"/>
  </r>
  <r>
    <x v="69"/>
    <x v="69"/>
    <s v="A"/>
    <n v="225"/>
    <n v="293"/>
    <n v="243"/>
    <n v="50"/>
    <n v="224"/>
    <n v="19"/>
  </r>
  <r>
    <x v="69"/>
    <x v="69"/>
    <s v="B"/>
    <n v="301"/>
    <n v="229"/>
    <n v="229"/>
    <n v="24"/>
    <n v="229"/>
    <n v="0"/>
  </r>
  <r>
    <x v="69"/>
    <x v="69"/>
    <s v="C"/>
    <n v="801"/>
    <n v="921"/>
    <n v="787"/>
    <n v="134"/>
    <n v="770"/>
    <n v="17"/>
  </r>
  <r>
    <x v="69"/>
    <x v="69"/>
    <s v="CH"/>
    <n v="1734"/>
    <n v="1161"/>
    <n v="1134"/>
    <n v="28"/>
    <n v="1123"/>
    <n v="11"/>
  </r>
  <r>
    <x v="69"/>
    <x v="69"/>
    <s v="D"/>
    <n v="460"/>
    <n v="281"/>
    <n v="252"/>
    <n v="29"/>
    <n v="230"/>
    <n v="22"/>
  </r>
  <r>
    <x v="69"/>
    <x v="69"/>
    <s v="E"/>
    <n v="451"/>
    <n v="561"/>
    <n v="509"/>
    <n v="52"/>
    <n v="504"/>
    <n v="5"/>
  </r>
  <r>
    <x v="69"/>
    <x v="69"/>
    <s v="F"/>
    <n v="0"/>
    <n v="183"/>
    <n v="142"/>
    <n v="41"/>
    <n v="119"/>
    <n v="23"/>
  </r>
  <r>
    <x v="69"/>
    <x v="69"/>
    <s v="G"/>
    <n v="0"/>
    <n v="668"/>
    <n v="666"/>
    <n v="2"/>
    <n v="612"/>
    <n v="54"/>
  </r>
  <r>
    <x v="70"/>
    <x v="70"/>
    <s v="A"/>
    <n v="522"/>
    <n v="1138"/>
    <n v="958"/>
    <n v="180"/>
    <n v="886"/>
    <n v="72"/>
  </r>
  <r>
    <x v="70"/>
    <x v="70"/>
    <s v="B"/>
    <n v="48"/>
    <n v="72"/>
    <n v="72"/>
    <n v="0"/>
    <n v="72"/>
    <n v="0"/>
  </r>
  <r>
    <x v="70"/>
    <x v="70"/>
    <s v="C"/>
    <n v="843"/>
    <n v="1095"/>
    <n v="998"/>
    <n v="97"/>
    <n v="983"/>
    <n v="15"/>
  </r>
  <r>
    <x v="70"/>
    <x v="70"/>
    <s v="CH"/>
    <n v="785"/>
    <n v="731"/>
    <n v="689"/>
    <n v="42"/>
    <n v="679"/>
    <n v="10"/>
  </r>
  <r>
    <x v="70"/>
    <x v="70"/>
    <s v="D"/>
    <n v="445"/>
    <n v="906"/>
    <n v="696"/>
    <n v="213"/>
    <n v="621"/>
    <n v="75"/>
  </r>
  <r>
    <x v="70"/>
    <x v="70"/>
    <s v="E"/>
    <n v="946"/>
    <n v="1325"/>
    <n v="1075"/>
    <n v="251"/>
    <n v="1018"/>
    <n v="57"/>
  </r>
  <r>
    <x v="70"/>
    <x v="70"/>
    <s v="F"/>
    <n v="1097"/>
    <n v="898"/>
    <n v="578"/>
    <n v="320"/>
    <n v="505"/>
    <n v="73"/>
  </r>
  <r>
    <x v="70"/>
    <x v="70"/>
    <s v="G"/>
    <n v="664"/>
    <n v="549"/>
    <n v="351"/>
    <n v="198"/>
    <n v="325"/>
    <n v="26"/>
  </r>
  <r>
    <x v="71"/>
    <x v="71"/>
    <s v="A"/>
    <n v="865"/>
    <n v="616"/>
    <n v="438"/>
    <n v="178"/>
    <n v="390"/>
    <n v="48"/>
  </r>
  <r>
    <x v="71"/>
    <x v="71"/>
    <s v="B"/>
    <n v="253"/>
    <n v="238"/>
    <n v="238"/>
    <n v="15"/>
    <n v="238"/>
    <n v="0"/>
  </r>
  <r>
    <x v="71"/>
    <x v="71"/>
    <s v="C"/>
    <n v="801"/>
    <n v="749"/>
    <n v="717"/>
    <n v="32"/>
    <n v="710"/>
    <n v="7"/>
  </r>
  <r>
    <x v="71"/>
    <x v="71"/>
    <s v="CH"/>
    <n v="949"/>
    <n v="1176"/>
    <n v="1178"/>
    <n v="0"/>
    <n v="1165"/>
    <n v="13"/>
  </r>
  <r>
    <x v="71"/>
    <x v="71"/>
    <s v="D"/>
    <n v="946"/>
    <n v="956"/>
    <n v="822"/>
    <n v="134"/>
    <n v="751"/>
    <n v="71"/>
  </r>
  <r>
    <x v="71"/>
    <x v="71"/>
    <s v="E"/>
    <n v="454"/>
    <n v="524"/>
    <n v="448"/>
    <n v="76"/>
    <n v="434"/>
    <n v="14"/>
  </r>
  <r>
    <x v="71"/>
    <x v="71"/>
    <s v="F"/>
    <n v="285"/>
    <n v="1078"/>
    <n v="873"/>
    <n v="205"/>
    <n v="777"/>
    <n v="96"/>
  </r>
  <r>
    <x v="71"/>
    <x v="71"/>
    <s v="G"/>
    <n v="742"/>
    <n v="1029"/>
    <n v="643"/>
    <n v="386"/>
    <n v="591"/>
    <n v="52"/>
  </r>
  <r>
    <x v="72"/>
    <x v="72"/>
    <s v="A"/>
    <n v="522"/>
    <n v="1228"/>
    <n v="572"/>
    <n v="656"/>
    <n v="521"/>
    <n v="51"/>
  </r>
  <r>
    <x v="72"/>
    <x v="72"/>
    <s v="B"/>
    <n v="48"/>
    <n v="63"/>
    <n v="63"/>
    <n v="0"/>
    <n v="63"/>
    <n v="0"/>
  </r>
  <r>
    <x v="72"/>
    <x v="72"/>
    <s v="C"/>
    <n v="843"/>
    <n v="1047"/>
    <n v="828"/>
    <n v="219"/>
    <n v="819"/>
    <n v="9"/>
  </r>
  <r>
    <x v="72"/>
    <x v="72"/>
    <s v="CH"/>
    <n v="785"/>
    <n v="652"/>
    <n v="652"/>
    <n v="0"/>
    <n v="642"/>
    <n v="10"/>
  </r>
  <r>
    <x v="72"/>
    <x v="72"/>
    <s v="D"/>
    <n v="445"/>
    <n v="1003"/>
    <n v="695"/>
    <n v="309"/>
    <n v="611"/>
    <n v="84"/>
  </r>
  <r>
    <x v="72"/>
    <x v="72"/>
    <s v="E"/>
    <n v="952"/>
    <n v="905"/>
    <n v="670"/>
    <n v="269"/>
    <n v="660"/>
    <n v="10"/>
  </r>
  <r>
    <x v="72"/>
    <x v="72"/>
    <s v="F"/>
    <n v="1097"/>
    <n v="766"/>
    <n v="573"/>
    <n v="193"/>
    <n v="502"/>
    <n v="71"/>
  </r>
  <r>
    <x v="72"/>
    <x v="72"/>
    <s v="G"/>
    <n v="664"/>
    <n v="856"/>
    <n v="492"/>
    <n v="364"/>
    <n v="448"/>
    <n v="44"/>
  </r>
  <r>
    <x v="73"/>
    <x v="73"/>
    <s v="A"/>
    <n v="865"/>
    <n v="1039"/>
    <n v="868"/>
    <n v="171"/>
    <n v="789"/>
    <n v="79"/>
  </r>
  <r>
    <x v="73"/>
    <x v="73"/>
    <s v="B"/>
    <n v="253"/>
    <n v="244"/>
    <n v="245"/>
    <n v="8"/>
    <n v="244"/>
    <n v="1"/>
  </r>
  <r>
    <x v="73"/>
    <x v="73"/>
    <s v="C"/>
    <n v="801"/>
    <n v="815"/>
    <n v="815"/>
    <n v="0"/>
    <n v="803"/>
    <n v="12"/>
  </r>
  <r>
    <x v="73"/>
    <x v="73"/>
    <s v="CH"/>
    <n v="949"/>
    <n v="1163"/>
    <n v="1140"/>
    <n v="24"/>
    <n v="1127"/>
    <n v="13"/>
  </r>
  <r>
    <x v="73"/>
    <x v="73"/>
    <s v="D"/>
    <n v="946"/>
    <n v="784"/>
    <n v="594"/>
    <n v="190"/>
    <n v="532"/>
    <n v="62"/>
  </r>
  <r>
    <x v="73"/>
    <x v="73"/>
    <s v="E"/>
    <n v="416"/>
    <n v="792"/>
    <n v="731"/>
    <n v="61"/>
    <n v="691"/>
    <n v="40"/>
  </r>
  <r>
    <x v="73"/>
    <x v="73"/>
    <s v="F"/>
    <n v="285"/>
    <n v="754"/>
    <n v="462"/>
    <n v="292"/>
    <n v="386"/>
    <n v="76"/>
  </r>
  <r>
    <x v="73"/>
    <x v="73"/>
    <s v="G"/>
    <n v="742"/>
    <n v="994"/>
    <n v="534"/>
    <n v="460"/>
    <n v="495"/>
    <n v="39"/>
  </r>
  <r>
    <x v="74"/>
    <x v="74"/>
    <s v="A"/>
    <n v="522"/>
    <n v="584"/>
    <n v="480"/>
    <n v="106"/>
    <n v="449"/>
    <n v="31"/>
  </r>
  <r>
    <x v="74"/>
    <x v="74"/>
    <s v="B"/>
    <n v="48"/>
    <n v="48"/>
    <n v="50"/>
    <n v="0"/>
    <n v="48"/>
    <n v="2"/>
  </r>
  <r>
    <x v="74"/>
    <x v="74"/>
    <s v="C"/>
    <n v="843"/>
    <n v="892"/>
    <n v="832"/>
    <n v="60"/>
    <n v="801"/>
    <n v="31"/>
  </r>
  <r>
    <x v="74"/>
    <x v="74"/>
    <s v="CH"/>
    <n v="785"/>
    <n v="675"/>
    <n v="676"/>
    <n v="1"/>
    <n v="661"/>
    <n v="15"/>
  </r>
  <r>
    <x v="74"/>
    <x v="74"/>
    <s v="D"/>
    <n v="445"/>
    <n v="1002"/>
    <n v="781"/>
    <n v="222"/>
    <n v="695"/>
    <n v="86"/>
  </r>
  <r>
    <x v="74"/>
    <x v="74"/>
    <s v="E"/>
    <n v="984"/>
    <n v="1060"/>
    <n v="987"/>
    <n v="73"/>
    <n v="962"/>
    <n v="25"/>
  </r>
  <r>
    <x v="74"/>
    <x v="74"/>
    <s v="F"/>
    <n v="1097"/>
    <n v="1024"/>
    <n v="978"/>
    <n v="46"/>
    <n v="887"/>
    <n v="91"/>
  </r>
  <r>
    <x v="74"/>
    <x v="74"/>
    <s v="G"/>
    <n v="664"/>
    <n v="914"/>
    <n v="665"/>
    <n v="249"/>
    <n v="617"/>
    <n v="48"/>
  </r>
  <r>
    <x v="75"/>
    <x v="75"/>
    <s v="A"/>
    <n v="781"/>
    <n v="1039"/>
    <n v="797"/>
    <n v="242"/>
    <n v="701"/>
    <n v="96"/>
  </r>
  <r>
    <x v="75"/>
    <x v="75"/>
    <s v="B"/>
    <n v="0"/>
    <n v="0"/>
    <n v="0"/>
    <n v="0"/>
    <n v="0"/>
    <n v="0"/>
  </r>
  <r>
    <x v="75"/>
    <x v="75"/>
    <s v="C"/>
    <n v="0"/>
    <n v="0"/>
    <n v="0"/>
    <n v="0"/>
    <n v="0"/>
    <n v="0"/>
  </r>
  <r>
    <x v="75"/>
    <x v="75"/>
    <s v="CH"/>
    <n v="0"/>
    <n v="0"/>
    <n v="0"/>
    <n v="0"/>
    <n v="0"/>
    <n v="0"/>
  </r>
  <r>
    <x v="75"/>
    <x v="75"/>
    <s v="D"/>
    <n v="946"/>
    <n v="879"/>
    <n v="731"/>
    <n v="148"/>
    <n v="629"/>
    <n v="102"/>
  </r>
  <r>
    <x v="75"/>
    <x v="75"/>
    <s v="E"/>
    <n v="231"/>
    <n v="145"/>
    <n v="80"/>
    <n v="65"/>
    <n v="70"/>
    <n v="10"/>
  </r>
  <r>
    <x v="75"/>
    <x v="75"/>
    <s v="F"/>
    <n v="285"/>
    <n v="368"/>
    <n v="335"/>
    <n v="33"/>
    <n v="281"/>
    <n v="54"/>
  </r>
  <r>
    <x v="75"/>
    <x v="75"/>
    <s v="G"/>
    <n v="742"/>
    <n v="591"/>
    <n v="504"/>
    <n v="87"/>
    <n v="458"/>
    <n v="46"/>
  </r>
  <r>
    <x v="76"/>
    <x v="76"/>
    <s v="A"/>
    <n v="223"/>
    <n v="325"/>
    <n v="311"/>
    <n v="14"/>
    <n v="273"/>
    <n v="38"/>
  </r>
  <r>
    <x v="76"/>
    <x v="76"/>
    <s v="B"/>
    <n v="301"/>
    <n v="192"/>
    <n v="196"/>
    <n v="57"/>
    <n v="192"/>
    <n v="4"/>
  </r>
  <r>
    <x v="76"/>
    <x v="76"/>
    <s v="C"/>
    <n v="801"/>
    <n v="837"/>
    <n v="800"/>
    <n v="37"/>
    <n v="781"/>
    <n v="19"/>
  </r>
  <r>
    <x v="76"/>
    <x v="76"/>
    <s v="CH"/>
    <n v="1734"/>
    <n v="1161"/>
    <n v="1101"/>
    <n v="61"/>
    <n v="1092"/>
    <n v="9"/>
  </r>
  <r>
    <x v="76"/>
    <x v="76"/>
    <s v="D"/>
    <n v="445"/>
    <n v="303"/>
    <n v="271"/>
    <n v="32"/>
    <n v="259"/>
    <n v="12"/>
  </r>
  <r>
    <x v="76"/>
    <x v="76"/>
    <s v="E"/>
    <n v="376"/>
    <n v="550"/>
    <n v="431"/>
    <n v="119"/>
    <n v="416"/>
    <n v="15"/>
  </r>
  <r>
    <x v="76"/>
    <x v="76"/>
    <s v="F"/>
    <n v="37"/>
    <n v="502"/>
    <n v="415"/>
    <n v="87"/>
    <n v="369"/>
    <n v="46"/>
  </r>
  <r>
    <x v="76"/>
    <x v="76"/>
    <s v="G"/>
    <n v="0"/>
    <n v="242"/>
    <n v="234"/>
    <n v="8"/>
    <n v="225"/>
    <n v="9"/>
  </r>
  <r>
    <x v="77"/>
    <x v="77"/>
    <s v="A"/>
    <n v="697"/>
    <n v="597"/>
    <n v="349"/>
    <n v="284"/>
    <n v="335"/>
    <n v="14"/>
  </r>
  <r>
    <x v="77"/>
    <x v="77"/>
    <s v="B"/>
    <n v="48"/>
    <n v="105"/>
    <n v="111"/>
    <n v="0"/>
    <n v="105"/>
    <n v="6"/>
  </r>
  <r>
    <x v="77"/>
    <x v="77"/>
    <s v="C"/>
    <n v="697"/>
    <n v="967"/>
    <n v="825"/>
    <n v="142"/>
    <n v="801"/>
    <n v="24"/>
  </r>
  <r>
    <x v="77"/>
    <x v="77"/>
    <s v="CH"/>
    <n v="832"/>
    <n v="726"/>
    <n v="726"/>
    <n v="0"/>
    <n v="708"/>
    <n v="18"/>
  </r>
  <r>
    <x v="77"/>
    <x v="77"/>
    <s v="D"/>
    <n v="352"/>
    <n v="729"/>
    <n v="606"/>
    <n v="124"/>
    <n v="542"/>
    <n v="64"/>
  </r>
  <r>
    <x v="77"/>
    <x v="77"/>
    <s v="E"/>
    <n v="926"/>
    <n v="1250"/>
    <n v="998"/>
    <n v="252"/>
    <n v="967"/>
    <n v="31"/>
  </r>
  <r>
    <x v="77"/>
    <x v="77"/>
    <s v="F"/>
    <n v="1099"/>
    <n v="1008"/>
    <n v="577"/>
    <n v="431"/>
    <n v="515"/>
    <n v="62"/>
  </r>
  <r>
    <x v="77"/>
    <x v="77"/>
    <s v="G"/>
    <n v="663"/>
    <n v="868"/>
    <n v="590"/>
    <n v="278"/>
    <n v="545"/>
    <n v="45"/>
  </r>
  <r>
    <x v="78"/>
    <x v="78"/>
    <s v="A"/>
    <n v="690"/>
    <n v="1549"/>
    <n v="977"/>
    <n v="572"/>
    <n v="789"/>
    <n v="188"/>
  </r>
  <r>
    <x v="78"/>
    <x v="78"/>
    <s v="B"/>
    <n v="253"/>
    <n v="255"/>
    <n v="229"/>
    <n v="26"/>
    <n v="228"/>
    <n v="1"/>
  </r>
  <r>
    <x v="78"/>
    <x v="78"/>
    <s v="C"/>
    <n v="945"/>
    <n v="809"/>
    <n v="622"/>
    <n v="187"/>
    <n v="611"/>
    <n v="11"/>
  </r>
  <r>
    <x v="78"/>
    <x v="78"/>
    <s v="CH"/>
    <n v="951"/>
    <n v="1164"/>
    <n v="1091"/>
    <n v="73"/>
    <n v="1076"/>
    <n v="15"/>
  </r>
  <r>
    <x v="78"/>
    <x v="78"/>
    <s v="D"/>
    <n v="1035"/>
    <n v="778"/>
    <n v="535"/>
    <n v="243"/>
    <n v="468"/>
    <n v="67"/>
  </r>
  <r>
    <x v="78"/>
    <x v="78"/>
    <s v="E"/>
    <n v="480"/>
    <n v="622"/>
    <n v="267"/>
    <n v="355"/>
    <n v="255"/>
    <n v="12"/>
  </r>
  <r>
    <x v="78"/>
    <x v="78"/>
    <s v="F"/>
    <n v="286"/>
    <n v="755"/>
    <n v="473"/>
    <n v="282"/>
    <n v="408"/>
    <n v="65"/>
  </r>
  <r>
    <x v="78"/>
    <x v="78"/>
    <s v="G"/>
    <n v="737"/>
    <n v="809"/>
    <n v="566"/>
    <n v="243"/>
    <n v="508"/>
    <n v="58"/>
  </r>
  <r>
    <x v="79"/>
    <x v="79"/>
    <s v="A"/>
    <n v="697"/>
    <n v="98"/>
    <n v="32"/>
    <n v="66"/>
    <n v="32"/>
    <n v="0"/>
  </r>
  <r>
    <x v="79"/>
    <x v="79"/>
    <s v="B"/>
    <n v="48"/>
    <n v="74"/>
    <n v="0"/>
    <n v="74"/>
    <n v="0"/>
    <n v="0"/>
  </r>
  <r>
    <x v="79"/>
    <x v="79"/>
    <s v="C"/>
    <n v="697"/>
    <n v="909"/>
    <n v="436"/>
    <n v="473"/>
    <n v="425"/>
    <n v="11"/>
  </r>
  <r>
    <x v="79"/>
    <x v="79"/>
    <s v="CH"/>
    <n v="832"/>
    <n v="740"/>
    <n v="619"/>
    <n v="121"/>
    <n v="608"/>
    <n v="11"/>
  </r>
  <r>
    <x v="79"/>
    <x v="79"/>
    <s v="D"/>
    <n v="352"/>
    <n v="1197"/>
    <n v="381"/>
    <n v="816"/>
    <n v="328"/>
    <n v="53"/>
  </r>
  <r>
    <x v="79"/>
    <x v="79"/>
    <s v="E"/>
    <n v="890"/>
    <n v="1273"/>
    <n v="488"/>
    <n v="785"/>
    <n v="471"/>
    <n v="17"/>
  </r>
  <r>
    <x v="79"/>
    <x v="79"/>
    <s v="F"/>
    <n v="1099"/>
    <n v="1024"/>
    <n v="324"/>
    <n v="700"/>
    <n v="278"/>
    <n v="46"/>
  </r>
  <r>
    <x v="79"/>
    <x v="79"/>
    <s v="G"/>
    <n v="663"/>
    <n v="0"/>
    <n v="0"/>
    <n v="0"/>
    <n v="0"/>
    <n v="0"/>
  </r>
  <r>
    <x v="80"/>
    <x v="80"/>
    <s v="A"/>
    <n v="690"/>
    <n v="1043"/>
    <n v="784"/>
    <n v="259"/>
    <n v="721"/>
    <n v="63"/>
  </r>
  <r>
    <x v="80"/>
    <x v="80"/>
    <s v="B"/>
    <n v="253"/>
    <n v="183"/>
    <n v="139"/>
    <n v="44"/>
    <n v="137"/>
    <n v="2"/>
  </r>
  <r>
    <x v="80"/>
    <x v="80"/>
    <s v="C"/>
    <n v="945"/>
    <n v="664"/>
    <n v="484"/>
    <n v="180"/>
    <n v="468"/>
    <n v="16"/>
  </r>
  <r>
    <x v="80"/>
    <x v="80"/>
    <s v="CH"/>
    <n v="951"/>
    <n v="1167"/>
    <n v="1120"/>
    <n v="47"/>
    <n v="1104"/>
    <n v="16"/>
  </r>
  <r>
    <x v="80"/>
    <x v="80"/>
    <s v="D"/>
    <n v="1035"/>
    <n v="511"/>
    <n v="353"/>
    <n v="158"/>
    <n v="321"/>
    <n v="32"/>
  </r>
  <r>
    <x v="80"/>
    <x v="80"/>
    <s v="E"/>
    <n v="510"/>
    <n v="400"/>
    <n v="368"/>
    <n v="32"/>
    <n v="330"/>
    <n v="38"/>
  </r>
  <r>
    <x v="80"/>
    <x v="80"/>
    <s v="F"/>
    <n v="286"/>
    <n v="506"/>
    <n v="273"/>
    <n v="233"/>
    <n v="245"/>
    <n v="28"/>
  </r>
  <r>
    <x v="80"/>
    <x v="80"/>
    <s v="G"/>
    <n v="737"/>
    <n v="1148"/>
    <n v="736"/>
    <n v="412"/>
    <n v="669"/>
    <n v="67"/>
  </r>
  <r>
    <x v="81"/>
    <x v="81"/>
    <s v="A"/>
    <n v="697"/>
    <n v="542"/>
    <n v="362"/>
    <n v="180"/>
    <n v="330"/>
    <n v="32"/>
  </r>
  <r>
    <x v="81"/>
    <x v="81"/>
    <s v="B"/>
    <n v="48"/>
    <n v="192"/>
    <n v="140"/>
    <n v="52"/>
    <n v="135"/>
    <n v="5"/>
  </r>
  <r>
    <x v="81"/>
    <x v="81"/>
    <s v="C"/>
    <n v="697"/>
    <n v="1001"/>
    <n v="777"/>
    <n v="224"/>
    <n v="766"/>
    <n v="11"/>
  </r>
  <r>
    <x v="81"/>
    <x v="81"/>
    <s v="CH"/>
    <n v="832"/>
    <n v="709"/>
    <n v="709"/>
    <n v="0"/>
    <n v="694"/>
    <n v="15"/>
  </r>
  <r>
    <x v="81"/>
    <x v="81"/>
    <s v="D"/>
    <n v="352"/>
    <n v="924"/>
    <n v="570"/>
    <n v="354"/>
    <n v="494"/>
    <n v="76"/>
  </r>
  <r>
    <x v="81"/>
    <x v="81"/>
    <s v="E"/>
    <n v="896"/>
    <n v="1046"/>
    <n v="734"/>
    <n v="312"/>
    <n v="715"/>
    <n v="19"/>
  </r>
  <r>
    <x v="81"/>
    <x v="81"/>
    <s v="F"/>
    <n v="1099"/>
    <n v="941"/>
    <n v="726"/>
    <n v="215"/>
    <n v="663"/>
    <n v="63"/>
  </r>
  <r>
    <x v="81"/>
    <x v="81"/>
    <s v="G"/>
    <n v="663"/>
    <n v="1053"/>
    <n v="612"/>
    <n v="441"/>
    <n v="559"/>
    <n v="53"/>
  </r>
  <r>
    <x v="82"/>
    <x v="82"/>
    <s v="A"/>
    <n v="690"/>
    <n v="953"/>
    <n v="767"/>
    <n v="186"/>
    <n v="702"/>
    <n v="65"/>
  </r>
  <r>
    <x v="82"/>
    <x v="82"/>
    <s v="B"/>
    <n v="0"/>
    <n v="55"/>
    <n v="55"/>
    <n v="0"/>
    <n v="54"/>
    <n v="1"/>
  </r>
  <r>
    <x v="82"/>
    <x v="82"/>
    <s v="C"/>
    <n v="0"/>
    <n v="151"/>
    <n v="73"/>
    <n v="78"/>
    <n v="73"/>
    <n v="0"/>
  </r>
  <r>
    <x v="82"/>
    <x v="82"/>
    <s v="CH"/>
    <n v="0"/>
    <n v="0"/>
    <n v="0"/>
    <n v="0"/>
    <n v="0"/>
    <n v="0"/>
  </r>
  <r>
    <x v="82"/>
    <x v="82"/>
    <s v="D"/>
    <n v="935"/>
    <n v="750"/>
    <n v="519"/>
    <n v="231"/>
    <n v="457"/>
    <n v="62"/>
  </r>
  <r>
    <x v="82"/>
    <x v="82"/>
    <s v="E"/>
    <n v="288"/>
    <n v="374"/>
    <n v="304"/>
    <n v="70"/>
    <n v="285"/>
    <n v="19"/>
  </r>
  <r>
    <x v="82"/>
    <x v="82"/>
    <s v="F"/>
    <n v="286"/>
    <n v="402"/>
    <n v="167"/>
    <n v="235"/>
    <n v="146"/>
    <n v="21"/>
  </r>
  <r>
    <x v="82"/>
    <x v="82"/>
    <s v="G"/>
    <n v="737"/>
    <n v="396"/>
    <n v="201"/>
    <n v="195"/>
    <n v="186"/>
    <n v="15"/>
  </r>
  <r>
    <x v="83"/>
    <x v="83"/>
    <s v="A"/>
    <n v="141"/>
    <n v="368"/>
    <n v="264"/>
    <n v="104"/>
    <n v="236"/>
    <n v="28"/>
  </r>
  <r>
    <x v="83"/>
    <x v="83"/>
    <s v="B"/>
    <n v="301"/>
    <n v="50"/>
    <n v="50"/>
    <n v="0"/>
    <n v="49"/>
    <n v="1"/>
  </r>
  <r>
    <x v="83"/>
    <x v="83"/>
    <s v="C"/>
    <n v="945"/>
    <n v="1050"/>
    <n v="599"/>
    <n v="451"/>
    <n v="583"/>
    <n v="16"/>
  </r>
  <r>
    <x v="83"/>
    <x v="83"/>
    <s v="CH"/>
    <n v="1783"/>
    <n v="1164"/>
    <n v="1068"/>
    <n v="96"/>
    <n v="1054"/>
    <n v="14"/>
  </r>
  <r>
    <x v="83"/>
    <x v="83"/>
    <s v="D"/>
    <n v="452"/>
    <n v="406"/>
    <n v="335"/>
    <n v="71"/>
    <n v="300"/>
    <n v="35"/>
  </r>
  <r>
    <x v="83"/>
    <x v="83"/>
    <s v="E"/>
    <n v="444"/>
    <n v="637"/>
    <n v="430"/>
    <n v="207"/>
    <n v="413"/>
    <n v="17"/>
  </r>
  <r>
    <x v="83"/>
    <x v="83"/>
    <s v="F"/>
    <n v="0"/>
    <n v="488"/>
    <n v="250"/>
    <n v="238"/>
    <n v="218"/>
    <n v="32"/>
  </r>
  <r>
    <x v="83"/>
    <x v="83"/>
    <s v="G"/>
    <n v="0"/>
    <n v="110"/>
    <n v="110"/>
    <n v="0"/>
    <n v="103"/>
    <n v="7"/>
  </r>
  <r>
    <x v="84"/>
    <x v="84"/>
    <s v="A"/>
    <n v="694"/>
    <n v="752"/>
    <n v="185"/>
    <n v="567"/>
    <n v="170"/>
    <n v="15"/>
  </r>
  <r>
    <x v="84"/>
    <x v="84"/>
    <s v="B"/>
    <n v="48"/>
    <n v="253"/>
    <n v="200"/>
    <n v="53"/>
    <n v="198"/>
    <n v="2"/>
  </r>
  <r>
    <x v="84"/>
    <x v="84"/>
    <s v="C"/>
    <n v="697"/>
    <n v="970"/>
    <n v="733"/>
    <n v="237"/>
    <n v="721"/>
    <n v="12"/>
  </r>
  <r>
    <x v="84"/>
    <x v="84"/>
    <s v="CH"/>
    <n v="951"/>
    <n v="771"/>
    <n v="714"/>
    <n v="57"/>
    <n v="705"/>
    <n v="9"/>
  </r>
  <r>
    <x v="84"/>
    <x v="84"/>
    <s v="D"/>
    <n v="452"/>
    <n v="434"/>
    <n v="179"/>
    <n v="255"/>
    <n v="162"/>
    <n v="17"/>
  </r>
  <r>
    <x v="84"/>
    <x v="84"/>
    <s v="E"/>
    <n v="896"/>
    <n v="803"/>
    <n v="484"/>
    <n v="319"/>
    <n v="464"/>
    <n v="20"/>
  </r>
  <r>
    <x v="84"/>
    <x v="84"/>
    <s v="F"/>
    <n v="1099"/>
    <n v="1125"/>
    <n v="417"/>
    <n v="708"/>
    <n v="375"/>
    <n v="42"/>
  </r>
  <r>
    <x v="84"/>
    <x v="84"/>
    <s v="G"/>
    <n v="663"/>
    <n v="916"/>
    <n v="569"/>
    <n v="347"/>
    <n v="516"/>
    <n v="53"/>
  </r>
  <r>
    <x v="85"/>
    <x v="85"/>
    <s v="A"/>
    <n v="693"/>
    <n v="506"/>
    <n v="268"/>
    <n v="238"/>
    <n v="252"/>
    <n v="16"/>
  </r>
  <r>
    <x v="85"/>
    <x v="85"/>
    <s v="B"/>
    <n v="253"/>
    <n v="102"/>
    <n v="68"/>
    <n v="34"/>
    <n v="67"/>
    <n v="1"/>
  </r>
  <r>
    <x v="85"/>
    <x v="85"/>
    <s v="C"/>
    <n v="945"/>
    <n v="608"/>
    <n v="440"/>
    <n v="168"/>
    <n v="432"/>
    <n v="8"/>
  </r>
  <r>
    <x v="85"/>
    <x v="85"/>
    <s v="CH"/>
    <n v="832"/>
    <n v="1129"/>
    <n v="1105"/>
    <n v="24"/>
    <n v="1095"/>
    <n v="10"/>
  </r>
  <r>
    <x v="85"/>
    <x v="85"/>
    <s v="D"/>
    <n v="935"/>
    <n v="483"/>
    <n v="324"/>
    <n v="159"/>
    <n v="270"/>
    <n v="54"/>
  </r>
  <r>
    <x v="85"/>
    <x v="85"/>
    <s v="E"/>
    <n v="474"/>
    <n v="619"/>
    <n v="414"/>
    <n v="205"/>
    <n v="400"/>
    <n v="14"/>
  </r>
  <r>
    <x v="85"/>
    <x v="85"/>
    <s v="F"/>
    <n v="286"/>
    <n v="951"/>
    <n v="493"/>
    <n v="458"/>
    <n v="454"/>
    <n v="39"/>
  </r>
  <r>
    <x v="85"/>
    <x v="85"/>
    <s v="G"/>
    <n v="737"/>
    <n v="768"/>
    <n v="490"/>
    <n v="278"/>
    <n v="410"/>
    <n v="80"/>
  </r>
  <r>
    <x v="86"/>
    <x v="86"/>
    <s v="A"/>
    <n v="694"/>
    <n v="1316"/>
    <n v="812"/>
    <n v="504"/>
    <n v="698"/>
    <n v="114"/>
  </r>
  <r>
    <x v="86"/>
    <x v="86"/>
    <s v="B"/>
    <n v="48"/>
    <n v="196"/>
    <n v="196"/>
    <n v="0"/>
    <n v="194"/>
    <n v="2"/>
  </r>
  <r>
    <x v="86"/>
    <x v="86"/>
    <s v="C"/>
    <n v="697"/>
    <n v="994"/>
    <n v="787"/>
    <n v="207"/>
    <n v="775"/>
    <n v="12"/>
  </r>
  <r>
    <x v="86"/>
    <x v="86"/>
    <s v="CH"/>
    <n v="951"/>
    <n v="661"/>
    <n v="661"/>
    <n v="0"/>
    <n v="649"/>
    <n v="12"/>
  </r>
  <r>
    <x v="86"/>
    <x v="86"/>
    <s v="D"/>
    <n v="452"/>
    <n v="1296"/>
    <n v="883"/>
    <n v="413"/>
    <n v="793"/>
    <n v="90"/>
  </r>
  <r>
    <x v="86"/>
    <x v="86"/>
    <s v="E"/>
    <n v="926"/>
    <n v="1247"/>
    <n v="989"/>
    <n v="258"/>
    <n v="955"/>
    <n v="34"/>
  </r>
  <r>
    <x v="86"/>
    <x v="86"/>
    <s v="F"/>
    <n v="1099"/>
    <n v="368"/>
    <n v="298"/>
    <n v="70"/>
    <n v="247"/>
    <n v="51"/>
  </r>
  <r>
    <x v="86"/>
    <x v="86"/>
    <s v="G"/>
    <n v="663"/>
    <n v="419"/>
    <n v="283"/>
    <n v="136"/>
    <n v="263"/>
    <n v="20"/>
  </r>
  <r>
    <x v="87"/>
    <x v="87"/>
    <s v="A"/>
    <n v="693"/>
    <n v="990"/>
    <n v="592"/>
    <n v="398"/>
    <n v="555"/>
    <n v="37"/>
  </r>
  <r>
    <x v="87"/>
    <x v="87"/>
    <s v="B"/>
    <n v="253"/>
    <n v="89"/>
    <n v="89"/>
    <n v="0"/>
    <n v="87"/>
    <n v="2"/>
  </r>
  <r>
    <x v="87"/>
    <x v="87"/>
    <s v="C"/>
    <n v="945"/>
    <n v="912"/>
    <n v="776"/>
    <n v="136"/>
    <n v="761"/>
    <n v="15"/>
  </r>
  <r>
    <x v="87"/>
    <x v="87"/>
    <s v="CH"/>
    <n v="832"/>
    <n v="1170"/>
    <n v="1103"/>
    <n v="67"/>
    <n v="1091"/>
    <n v="12"/>
  </r>
  <r>
    <x v="87"/>
    <x v="87"/>
    <s v="D"/>
    <n v="935"/>
    <n v="553"/>
    <n v="414"/>
    <n v="139"/>
    <n v="370"/>
    <n v="44"/>
  </r>
  <r>
    <x v="87"/>
    <x v="87"/>
    <s v="E"/>
    <n v="480"/>
    <n v="524"/>
    <n v="382"/>
    <n v="142"/>
    <n v="369"/>
    <n v="13"/>
  </r>
  <r>
    <x v="87"/>
    <x v="87"/>
    <s v="F"/>
    <n v="286"/>
    <n v="1395"/>
    <n v="978"/>
    <n v="417"/>
    <n v="812"/>
    <n v="166"/>
  </r>
  <r>
    <x v="87"/>
    <x v="87"/>
    <s v="G"/>
    <n v="737"/>
    <n v="1080"/>
    <n v="831"/>
    <n v="249"/>
    <n v="761"/>
    <n v="70"/>
  </r>
  <r>
    <x v="88"/>
    <x v="88"/>
    <s v="A"/>
    <n v="694"/>
    <n v="758"/>
    <n v="411"/>
    <n v="347"/>
    <n v="372"/>
    <n v="39"/>
  </r>
  <r>
    <x v="88"/>
    <x v="88"/>
    <s v="B"/>
    <n v="48"/>
    <n v="254"/>
    <n v="218"/>
    <n v="36"/>
    <n v="216"/>
    <n v="2"/>
  </r>
  <r>
    <x v="88"/>
    <x v="88"/>
    <s v="C"/>
    <n v="697"/>
    <n v="963"/>
    <n v="727"/>
    <n v="236"/>
    <n v="711"/>
    <n v="16"/>
  </r>
  <r>
    <x v="88"/>
    <x v="88"/>
    <s v="CH"/>
    <n v="951"/>
    <n v="702"/>
    <n v="702"/>
    <n v="0"/>
    <n v="694"/>
    <n v="8"/>
  </r>
  <r>
    <x v="88"/>
    <x v="88"/>
    <s v="D"/>
    <n v="452"/>
    <n v="1186"/>
    <n v="855"/>
    <n v="331"/>
    <n v="761"/>
    <n v="94"/>
  </r>
  <r>
    <x v="88"/>
    <x v="88"/>
    <s v="E"/>
    <n v="890"/>
    <n v="1246"/>
    <n v="1037"/>
    <n v="209"/>
    <n v="991"/>
    <n v="46"/>
  </r>
  <r>
    <x v="88"/>
    <x v="88"/>
    <s v="F"/>
    <n v="1099"/>
    <n v="836"/>
    <n v="587"/>
    <n v="249"/>
    <n v="500"/>
    <n v="87"/>
  </r>
  <r>
    <x v="88"/>
    <x v="88"/>
    <s v="G"/>
    <n v="663"/>
    <n v="749"/>
    <n v="395"/>
    <n v="354"/>
    <n v="356"/>
    <n v="39"/>
  </r>
  <r>
    <x v="89"/>
    <x v="89"/>
    <s v="A"/>
    <n v="693"/>
    <n v="1297"/>
    <n v="961"/>
    <n v="336"/>
    <n v="859"/>
    <n v="102"/>
  </r>
  <r>
    <x v="89"/>
    <x v="89"/>
    <s v="B"/>
    <n v="0"/>
    <n v="37"/>
    <n v="37"/>
    <n v="0"/>
    <n v="34"/>
    <n v="3"/>
  </r>
  <r>
    <x v="89"/>
    <x v="89"/>
    <s v="C"/>
    <n v="0"/>
    <n v="194"/>
    <n v="167"/>
    <n v="27"/>
    <n v="159"/>
    <n v="8"/>
  </r>
  <r>
    <x v="89"/>
    <x v="89"/>
    <s v="CH"/>
    <n v="0"/>
    <n v="0"/>
    <n v="0"/>
    <n v="0"/>
    <n v="0"/>
    <n v="0"/>
  </r>
  <r>
    <x v="89"/>
    <x v="89"/>
    <s v="D"/>
    <n v="935"/>
    <n v="650"/>
    <n v="578"/>
    <n v="72"/>
    <n v="444"/>
    <n v="134"/>
  </r>
  <r>
    <x v="89"/>
    <x v="89"/>
    <s v="E"/>
    <n v="288"/>
    <n v="192"/>
    <n v="192"/>
    <n v="0"/>
    <n v="183"/>
    <n v="9"/>
  </r>
  <r>
    <x v="89"/>
    <x v="89"/>
    <s v="F"/>
    <n v="286"/>
    <n v="570"/>
    <n v="425"/>
    <n v="145"/>
    <n v="359"/>
    <n v="66"/>
  </r>
  <r>
    <x v="89"/>
    <x v="89"/>
    <s v="G"/>
    <n v="737"/>
    <n v="625"/>
    <n v="342"/>
    <n v="283"/>
    <n v="309"/>
    <n v="33"/>
  </r>
  <r>
    <x v="90"/>
    <x v="90"/>
    <s v="A"/>
    <n v="138"/>
    <n v="178"/>
    <n v="126"/>
    <n v="52"/>
    <n v="108"/>
    <n v="18"/>
  </r>
  <r>
    <x v="90"/>
    <x v="90"/>
    <s v="B"/>
    <n v="301"/>
    <n v="48"/>
    <n v="48"/>
    <n v="0"/>
    <n v="47"/>
    <n v="1"/>
  </r>
  <r>
    <x v="90"/>
    <x v="90"/>
    <s v="C"/>
    <n v="945"/>
    <n v="936"/>
    <n v="686"/>
    <n v="250"/>
    <n v="668"/>
    <n v="18"/>
  </r>
  <r>
    <x v="90"/>
    <x v="90"/>
    <s v="CH"/>
    <n v="1783"/>
    <n v="1165"/>
    <n v="1111"/>
    <n v="54"/>
    <n v="1099"/>
    <n v="12"/>
  </r>
  <r>
    <x v="90"/>
    <x v="90"/>
    <s v="D"/>
    <n v="452"/>
    <n v="140"/>
    <n v="68"/>
    <n v="72"/>
    <n v="61"/>
    <n v="7"/>
  </r>
  <r>
    <x v="90"/>
    <x v="90"/>
    <s v="E"/>
    <n v="450"/>
    <n v="516"/>
    <n v="421"/>
    <n v="95"/>
    <n v="400"/>
    <n v="21"/>
  </r>
  <r>
    <x v="90"/>
    <x v="90"/>
    <s v="F"/>
    <n v="0"/>
    <n v="419"/>
    <n v="318"/>
    <n v="101"/>
    <n v="292"/>
    <n v="26"/>
  </r>
  <r>
    <x v="90"/>
    <x v="90"/>
    <s v="G"/>
    <n v="0"/>
    <n v="532"/>
    <n v="400"/>
    <n v="132"/>
    <n v="365"/>
    <n v="35"/>
  </r>
  <r>
    <x v="91"/>
    <x v="91"/>
    <s v="A"/>
    <n v="697"/>
    <n v="1064"/>
    <n v="860"/>
    <n v="204"/>
    <n v="804"/>
    <n v="56"/>
  </r>
  <r>
    <x v="91"/>
    <x v="91"/>
    <s v="B"/>
    <n v="48"/>
    <n v="254"/>
    <n v="192"/>
    <n v="62"/>
    <n v="191"/>
    <n v="1"/>
  </r>
  <r>
    <x v="91"/>
    <x v="91"/>
    <s v="C"/>
    <n v="697"/>
    <n v="1010"/>
    <n v="685"/>
    <n v="325"/>
    <n v="597"/>
    <n v="88"/>
  </r>
  <r>
    <x v="91"/>
    <x v="91"/>
    <s v="CH"/>
    <n v="832"/>
    <n v="712"/>
    <n v="682"/>
    <n v="30"/>
    <n v="673"/>
    <n v="9"/>
  </r>
  <r>
    <x v="91"/>
    <x v="91"/>
    <s v="D"/>
    <n v="352"/>
    <n v="1088"/>
    <n v="668"/>
    <n v="420"/>
    <n v="599"/>
    <n v="69"/>
  </r>
  <r>
    <x v="91"/>
    <x v="91"/>
    <s v="E"/>
    <n v="890"/>
    <n v="1112"/>
    <n v="677"/>
    <n v="435"/>
    <n v="659"/>
    <n v="18"/>
  </r>
  <r>
    <x v="91"/>
    <x v="91"/>
    <s v="F"/>
    <n v="1099"/>
    <n v="883"/>
    <n v="589"/>
    <n v="294"/>
    <n v="520"/>
    <n v="69"/>
  </r>
  <r>
    <x v="91"/>
    <x v="91"/>
    <s v="G"/>
    <n v="663"/>
    <n v="713"/>
    <n v="565"/>
    <n v="148"/>
    <n v="492"/>
    <n v="73"/>
  </r>
  <r>
    <x v="92"/>
    <x v="92"/>
    <s v="A"/>
    <n v="690"/>
    <n v="9"/>
    <n v="2"/>
    <n v="7"/>
    <n v="2"/>
    <n v="0"/>
  </r>
  <r>
    <x v="92"/>
    <x v="92"/>
    <s v="B"/>
    <n v="253"/>
    <n v="0"/>
    <n v="0"/>
    <n v="0"/>
    <n v="0"/>
    <n v="0"/>
  </r>
  <r>
    <x v="92"/>
    <x v="92"/>
    <s v="C"/>
    <n v="945"/>
    <n v="0"/>
    <n v="0"/>
    <n v="0"/>
    <n v="0"/>
    <n v="0"/>
  </r>
  <r>
    <x v="92"/>
    <x v="92"/>
    <s v="CH"/>
    <n v="951"/>
    <n v="14"/>
    <n v="1"/>
    <n v="13"/>
    <n v="1"/>
    <n v="0"/>
  </r>
  <r>
    <x v="92"/>
    <x v="92"/>
    <s v="D"/>
    <n v="1035"/>
    <n v="65"/>
    <n v="15"/>
    <n v="50"/>
    <n v="13"/>
    <n v="2"/>
  </r>
  <r>
    <x v="92"/>
    <x v="92"/>
    <s v="E"/>
    <n v="510"/>
    <n v="180"/>
    <n v="106"/>
    <n v="74"/>
    <n v="83"/>
    <n v="23"/>
  </r>
  <r>
    <x v="92"/>
    <x v="92"/>
    <s v="F"/>
    <n v="286"/>
    <n v="338"/>
    <n v="134"/>
    <n v="204"/>
    <n v="125"/>
    <n v="9"/>
  </r>
  <r>
    <x v="92"/>
    <x v="92"/>
    <s v="G"/>
    <n v="737"/>
    <n v="0"/>
    <n v="0"/>
    <n v="0"/>
    <n v="0"/>
    <n v="0"/>
  </r>
  <r>
    <x v="93"/>
    <x v="93"/>
    <s v="A"/>
    <n v="697"/>
    <n v="769"/>
    <n v="347"/>
    <n v="422"/>
    <n v="314"/>
    <n v="33"/>
  </r>
  <r>
    <x v="93"/>
    <x v="93"/>
    <s v="B"/>
    <n v="48"/>
    <n v="144"/>
    <n v="103"/>
    <n v="41"/>
    <n v="101"/>
    <n v="2"/>
  </r>
  <r>
    <x v="93"/>
    <x v="93"/>
    <s v="C"/>
    <n v="697"/>
    <n v="614"/>
    <n v="513"/>
    <n v="101"/>
    <n v="459"/>
    <n v="54"/>
  </r>
  <r>
    <x v="93"/>
    <x v="93"/>
    <s v="CH"/>
    <n v="832"/>
    <n v="1186"/>
    <n v="1161"/>
    <n v="25"/>
    <n v="1147"/>
    <n v="14"/>
  </r>
  <r>
    <x v="93"/>
    <x v="93"/>
    <s v="D"/>
    <n v="352"/>
    <n v="37"/>
    <n v="37"/>
    <n v="0"/>
    <n v="36"/>
    <n v="1"/>
  </r>
  <r>
    <x v="93"/>
    <x v="93"/>
    <s v="E"/>
    <n v="896"/>
    <n v="622"/>
    <n v="461"/>
    <n v="161"/>
    <n v="446"/>
    <n v="15"/>
  </r>
  <r>
    <x v="93"/>
    <x v="93"/>
    <s v="F"/>
    <n v="1099"/>
    <n v="263"/>
    <n v="232"/>
    <n v="31"/>
    <n v="209"/>
    <n v="23"/>
  </r>
  <r>
    <x v="93"/>
    <x v="93"/>
    <s v="G"/>
    <n v="663"/>
    <n v="662"/>
    <n v="374"/>
    <n v="288"/>
    <n v="350"/>
    <n v="24"/>
  </r>
  <r>
    <x v="94"/>
    <x v="94"/>
    <s v="A"/>
    <n v="690"/>
    <n v="522"/>
    <n v="260"/>
    <n v="262"/>
    <n v="209"/>
    <n v="51"/>
  </r>
  <r>
    <x v="94"/>
    <x v="94"/>
    <s v="B"/>
    <n v="253"/>
    <n v="199"/>
    <n v="199"/>
    <n v="0"/>
    <n v="198"/>
    <n v="1"/>
  </r>
  <r>
    <x v="94"/>
    <x v="94"/>
    <s v="C"/>
    <n v="945"/>
    <n v="1364"/>
    <n v="896"/>
    <n v="468"/>
    <n v="885"/>
    <n v="11"/>
  </r>
  <r>
    <x v="94"/>
    <x v="94"/>
    <s v="CH"/>
    <n v="951"/>
    <n v="677"/>
    <n v="677"/>
    <n v="0"/>
    <n v="669"/>
    <n v="8"/>
  </r>
  <r>
    <x v="94"/>
    <x v="94"/>
    <s v="D"/>
    <n v="1035"/>
    <n v="1596"/>
    <n v="1145"/>
    <n v="451"/>
    <n v="978"/>
    <n v="167"/>
  </r>
  <r>
    <x v="94"/>
    <x v="94"/>
    <s v="E"/>
    <n v="474"/>
    <n v="635"/>
    <n v="359"/>
    <n v="276"/>
    <n v="352"/>
    <n v="7"/>
  </r>
  <r>
    <x v="94"/>
    <x v="94"/>
    <s v="F"/>
    <n v="286"/>
    <n v="868"/>
    <n v="554"/>
    <n v="314"/>
    <n v="508"/>
    <n v="46"/>
  </r>
  <r>
    <x v="94"/>
    <x v="94"/>
    <s v="G"/>
    <n v="737"/>
    <n v="771"/>
    <n v="577"/>
    <n v="194"/>
    <n v="525"/>
    <n v="52"/>
  </r>
  <r>
    <x v="95"/>
    <x v="95"/>
    <s v="A"/>
    <n v="697"/>
    <n v="1141"/>
    <n v="422"/>
    <n v="719"/>
    <n v="388"/>
    <n v="34"/>
  </r>
  <r>
    <x v="95"/>
    <x v="95"/>
    <s v="B"/>
    <n v="48"/>
    <n v="48"/>
    <n v="48"/>
    <n v="0"/>
    <n v="47"/>
    <n v="1"/>
  </r>
  <r>
    <x v="95"/>
    <x v="95"/>
    <s v="C"/>
    <n v="697"/>
    <n v="710"/>
    <n v="575"/>
    <n v="135"/>
    <n v="548"/>
    <n v="27"/>
  </r>
  <r>
    <x v="95"/>
    <x v="95"/>
    <s v="CH"/>
    <n v="832"/>
    <n v="1171"/>
    <n v="1099"/>
    <n v="72"/>
    <n v="1083"/>
    <n v="16"/>
  </r>
  <r>
    <x v="95"/>
    <x v="95"/>
    <s v="D"/>
    <n v="352"/>
    <n v="526"/>
    <n v="201"/>
    <n v="325"/>
    <n v="183"/>
    <n v="18"/>
  </r>
  <r>
    <x v="95"/>
    <x v="95"/>
    <s v="E"/>
    <n v="926"/>
    <n v="1034"/>
    <n v="798"/>
    <n v="236"/>
    <n v="767"/>
    <n v="31"/>
  </r>
  <r>
    <x v="95"/>
    <x v="95"/>
    <s v="F"/>
    <n v="1099"/>
    <n v="869"/>
    <n v="420"/>
    <n v="449"/>
    <n v="383"/>
    <n v="37"/>
  </r>
  <r>
    <x v="95"/>
    <x v="95"/>
    <s v="G"/>
    <n v="663"/>
    <n v="523"/>
    <n v="271"/>
    <n v="252"/>
    <n v="239"/>
    <n v="32"/>
  </r>
  <r>
    <x v="96"/>
    <x v="96"/>
    <s v="A"/>
    <n v="690"/>
    <n v="1137"/>
    <n v="419"/>
    <n v="718"/>
    <n v="367"/>
    <n v="52"/>
  </r>
  <r>
    <x v="96"/>
    <x v="96"/>
    <s v="B"/>
    <n v="0"/>
    <n v="0"/>
    <n v="0"/>
    <n v="0"/>
    <n v="0"/>
    <n v="0"/>
  </r>
  <r>
    <x v="96"/>
    <x v="96"/>
    <s v="C"/>
    <n v="0"/>
    <n v="0"/>
    <n v="0"/>
    <n v="0"/>
    <n v="0"/>
    <n v="0"/>
  </r>
  <r>
    <x v="96"/>
    <x v="96"/>
    <s v="CH"/>
    <n v="0"/>
    <n v="50"/>
    <n v="12"/>
    <n v="38"/>
    <n v="12"/>
    <n v="0"/>
  </r>
  <r>
    <x v="96"/>
    <x v="96"/>
    <s v="D"/>
    <n v="935"/>
    <n v="771"/>
    <n v="296"/>
    <n v="475"/>
    <n v="267"/>
    <n v="29"/>
  </r>
  <r>
    <x v="96"/>
    <x v="96"/>
    <s v="E"/>
    <n v="288"/>
    <n v="282"/>
    <n v="94"/>
    <n v="188"/>
    <n v="86"/>
    <n v="8"/>
  </r>
  <r>
    <x v="96"/>
    <x v="96"/>
    <s v="F"/>
    <n v="286"/>
    <n v="577"/>
    <n v="127"/>
    <n v="450"/>
    <n v="112"/>
    <n v="15"/>
  </r>
  <r>
    <x v="96"/>
    <x v="96"/>
    <s v="G"/>
    <n v="737"/>
    <n v="435"/>
    <n v="132"/>
    <n v="303"/>
    <n v="125"/>
    <n v="7"/>
  </r>
  <r>
    <x v="97"/>
    <x v="97"/>
    <s v="A"/>
    <n v="141"/>
    <n v="278"/>
    <n v="129"/>
    <n v="149"/>
    <n v="126"/>
    <n v="3"/>
  </r>
  <r>
    <x v="97"/>
    <x v="97"/>
    <s v="B"/>
    <n v="301"/>
    <n v="144"/>
    <n v="90"/>
    <n v="54"/>
    <n v="88"/>
    <n v="2"/>
  </r>
  <r>
    <x v="97"/>
    <x v="97"/>
    <s v="C"/>
    <n v="945"/>
    <n v="675"/>
    <n v="351"/>
    <n v="324"/>
    <n v="333"/>
    <n v="18"/>
  </r>
  <r>
    <x v="97"/>
    <x v="97"/>
    <s v="CH"/>
    <n v="1783"/>
    <n v="1168"/>
    <n v="949"/>
    <n v="219"/>
    <n v="937"/>
    <n v="12"/>
  </r>
  <r>
    <x v="97"/>
    <x v="97"/>
    <s v="D"/>
    <n v="452"/>
    <n v="106"/>
    <n v="66"/>
    <n v="40"/>
    <n v="54"/>
    <n v="12"/>
  </r>
  <r>
    <x v="97"/>
    <x v="97"/>
    <s v="E"/>
    <n v="414"/>
    <n v="497"/>
    <n v="299"/>
    <n v="198"/>
    <n v="290"/>
    <n v="9"/>
  </r>
  <r>
    <x v="97"/>
    <x v="97"/>
    <s v="F"/>
    <n v="0"/>
    <n v="141"/>
    <n v="60"/>
    <n v="81"/>
    <n v="56"/>
    <n v="4"/>
  </r>
  <r>
    <x v="97"/>
    <x v="97"/>
    <s v="G"/>
    <n v="0"/>
    <n v="88"/>
    <n v="74"/>
    <n v="14"/>
    <n v="69"/>
    <n v="5"/>
  </r>
  <r>
    <x v="98"/>
    <x v="98"/>
    <s v="A"/>
    <n v="694"/>
    <n v="519"/>
    <n v="272"/>
    <n v="247"/>
    <n v="226"/>
    <n v="46"/>
  </r>
  <r>
    <x v="98"/>
    <x v="98"/>
    <s v="B"/>
    <n v="48"/>
    <n v="164"/>
    <n v="36"/>
    <n v="128"/>
    <n v="35"/>
    <n v="1"/>
  </r>
  <r>
    <x v="98"/>
    <x v="98"/>
    <s v="C"/>
    <n v="697"/>
    <n v="991"/>
    <n v="422"/>
    <n v="569"/>
    <n v="406"/>
    <n v="16"/>
  </r>
  <r>
    <x v="98"/>
    <x v="98"/>
    <s v="CH"/>
    <n v="951"/>
    <n v="732"/>
    <n v="554"/>
    <n v="178"/>
    <n v="542"/>
    <n v="12"/>
  </r>
  <r>
    <x v="98"/>
    <x v="98"/>
    <s v="D"/>
    <n v="452"/>
    <n v="1308"/>
    <n v="739"/>
    <n v="569"/>
    <n v="639"/>
    <n v="100"/>
  </r>
  <r>
    <x v="98"/>
    <x v="98"/>
    <s v="E"/>
    <n v="926"/>
    <n v="679"/>
    <n v="362"/>
    <n v="317"/>
    <n v="348"/>
    <n v="14"/>
  </r>
  <r>
    <x v="98"/>
    <x v="98"/>
    <s v="F"/>
    <n v="1099"/>
    <n v="555"/>
    <n v="212"/>
    <n v="343"/>
    <n v="184"/>
    <n v="28"/>
  </r>
  <r>
    <x v="98"/>
    <x v="98"/>
    <s v="G"/>
    <n v="663"/>
    <n v="389"/>
    <n v="85"/>
    <n v="304"/>
    <n v="76"/>
    <n v="9"/>
  </r>
  <r>
    <x v="99"/>
    <x v="99"/>
    <s v="A"/>
    <n v="693"/>
    <n v="1113"/>
    <n v="492"/>
    <n v="621"/>
    <n v="448"/>
    <n v="44"/>
  </r>
  <r>
    <x v="99"/>
    <x v="99"/>
    <s v="B"/>
    <n v="253"/>
    <n v="177"/>
    <n v="177"/>
    <n v="0"/>
    <n v="176"/>
    <n v="1"/>
  </r>
  <r>
    <x v="99"/>
    <x v="99"/>
    <s v="C"/>
    <n v="945"/>
    <n v="943"/>
    <n v="597"/>
    <n v="346"/>
    <n v="581"/>
    <n v="16"/>
  </r>
  <r>
    <x v="99"/>
    <x v="99"/>
    <s v="CH"/>
    <n v="832"/>
    <n v="1164"/>
    <n v="1024"/>
    <n v="140"/>
    <n v="1012"/>
    <n v="12"/>
  </r>
  <r>
    <x v="99"/>
    <x v="99"/>
    <s v="D"/>
    <n v="935"/>
    <n v="674"/>
    <n v="464"/>
    <n v="210"/>
    <n v="413"/>
    <n v="51"/>
  </r>
  <r>
    <x v="99"/>
    <x v="99"/>
    <s v="E"/>
    <n v="480"/>
    <n v="515"/>
    <n v="215"/>
    <n v="300"/>
    <n v="201"/>
    <n v="14"/>
  </r>
  <r>
    <x v="99"/>
    <x v="99"/>
    <s v="F"/>
    <n v="286"/>
    <n v="1076"/>
    <n v="528"/>
    <n v="548"/>
    <n v="459"/>
    <n v="69"/>
  </r>
  <r>
    <x v="99"/>
    <x v="99"/>
    <s v="G"/>
    <n v="737"/>
    <n v="186"/>
    <n v="33"/>
    <n v="153"/>
    <n v="30"/>
    <n v="3"/>
  </r>
  <r>
    <x v="100"/>
    <x v="100"/>
    <s v="A"/>
    <n v="694"/>
    <n v="265"/>
    <n v="164"/>
    <n v="101"/>
    <n v="141"/>
    <n v="23"/>
  </r>
  <r>
    <x v="100"/>
    <x v="100"/>
    <s v="B"/>
    <n v="48"/>
    <n v="144"/>
    <n v="106"/>
    <n v="38"/>
    <n v="105"/>
    <n v="1"/>
  </r>
  <r>
    <x v="100"/>
    <x v="100"/>
    <s v="C"/>
    <n v="697"/>
    <n v="922"/>
    <n v="775"/>
    <n v="147"/>
    <n v="760"/>
    <n v="15"/>
  </r>
  <r>
    <x v="100"/>
    <x v="100"/>
    <s v="CH"/>
    <n v="951"/>
    <n v="755"/>
    <n v="746"/>
    <n v="9"/>
    <n v="735"/>
    <n v="11"/>
  </r>
  <r>
    <x v="100"/>
    <x v="100"/>
    <s v="D"/>
    <n v="452"/>
    <n v="30"/>
    <n v="19"/>
    <n v="11"/>
    <n v="8"/>
    <n v="11"/>
  </r>
  <r>
    <x v="100"/>
    <x v="100"/>
    <s v="E"/>
    <n v="890"/>
    <n v="732"/>
    <n v="580"/>
    <n v="152"/>
    <n v="566"/>
    <n v="14"/>
  </r>
  <r>
    <x v="100"/>
    <x v="100"/>
    <s v="F"/>
    <n v="1099"/>
    <n v="385"/>
    <n v="249"/>
    <n v="136"/>
    <n v="227"/>
    <n v="22"/>
  </r>
  <r>
    <x v="100"/>
    <x v="100"/>
    <s v="G"/>
    <n v="663"/>
    <n v="1383"/>
    <n v="1110"/>
    <n v="273"/>
    <n v="1038"/>
    <n v="72"/>
  </r>
  <r>
    <x v="101"/>
    <x v="101"/>
    <s v="A"/>
    <n v="693"/>
    <n v="668"/>
    <n v="436"/>
    <n v="232"/>
    <n v="393"/>
    <n v="43"/>
  </r>
  <r>
    <x v="101"/>
    <x v="101"/>
    <s v="B"/>
    <n v="253"/>
    <n v="195"/>
    <n v="195"/>
    <n v="0"/>
    <n v="194"/>
    <n v="1"/>
  </r>
  <r>
    <x v="101"/>
    <x v="101"/>
    <s v="C"/>
    <n v="945"/>
    <n v="737"/>
    <n v="601"/>
    <n v="136"/>
    <n v="589"/>
    <n v="12"/>
  </r>
  <r>
    <x v="101"/>
    <x v="101"/>
    <s v="CH"/>
    <n v="832"/>
    <n v="1167"/>
    <n v="1150"/>
    <n v="17"/>
    <n v="1141"/>
    <n v="9"/>
  </r>
  <r>
    <x v="101"/>
    <x v="101"/>
    <s v="D"/>
    <n v="935"/>
    <n v="473"/>
    <n v="331"/>
    <n v="142"/>
    <n v="307"/>
    <n v="24"/>
  </r>
  <r>
    <x v="101"/>
    <x v="101"/>
    <s v="E"/>
    <n v="510"/>
    <n v="915"/>
    <n v="649"/>
    <n v="266"/>
    <n v="617"/>
    <n v="32"/>
  </r>
  <r>
    <x v="101"/>
    <x v="101"/>
    <s v="F"/>
    <n v="286"/>
    <n v="582"/>
    <n v="284"/>
    <n v="298"/>
    <n v="241"/>
    <n v="43"/>
  </r>
  <r>
    <x v="101"/>
    <x v="101"/>
    <s v="G"/>
    <n v="737"/>
    <n v="247"/>
    <n v="247"/>
    <n v="0"/>
    <n v="228"/>
    <n v="19"/>
  </r>
  <r>
    <x v="102"/>
    <x v="102"/>
    <s v="A"/>
    <n v="694"/>
    <n v="1278"/>
    <n v="478"/>
    <n v="800"/>
    <n v="420"/>
    <n v="58"/>
  </r>
  <r>
    <x v="102"/>
    <x v="102"/>
    <s v="B"/>
    <n v="48"/>
    <n v="48"/>
    <n v="48"/>
    <n v="0"/>
    <n v="46"/>
    <n v="2"/>
  </r>
  <r>
    <x v="102"/>
    <x v="102"/>
    <s v="C"/>
    <n v="697"/>
    <n v="1145"/>
    <n v="946"/>
    <n v="199"/>
    <n v="930"/>
    <n v="16"/>
  </r>
  <r>
    <x v="102"/>
    <x v="102"/>
    <s v="CH"/>
    <n v="951"/>
    <n v="676"/>
    <n v="676"/>
    <n v="0"/>
    <n v="667"/>
    <n v="9"/>
  </r>
  <r>
    <x v="102"/>
    <x v="102"/>
    <s v="D"/>
    <n v="452"/>
    <n v="1193"/>
    <n v="534"/>
    <n v="659"/>
    <n v="492"/>
    <n v="42"/>
  </r>
  <r>
    <x v="102"/>
    <x v="102"/>
    <s v="E"/>
    <n v="896"/>
    <n v="840"/>
    <n v="721"/>
    <n v="119"/>
    <n v="701"/>
    <n v="20"/>
  </r>
  <r>
    <x v="102"/>
    <x v="102"/>
    <s v="F"/>
    <n v="1099"/>
    <n v="705"/>
    <n v="188"/>
    <n v="517"/>
    <n v="163"/>
    <n v="25"/>
  </r>
  <r>
    <x v="102"/>
    <x v="102"/>
    <s v="G"/>
    <n v="663"/>
    <n v="48"/>
    <n v="24"/>
    <n v="24"/>
    <n v="23"/>
    <n v="1"/>
  </r>
  <r>
    <x v="103"/>
    <x v="103"/>
    <s v="A"/>
    <n v="693"/>
    <n v="711"/>
    <n v="507"/>
    <n v="204"/>
    <n v="466"/>
    <n v="41"/>
  </r>
  <r>
    <x v="103"/>
    <x v="103"/>
    <s v="B"/>
    <n v="0"/>
    <n v="0"/>
    <n v="0"/>
    <n v="0"/>
    <n v="0"/>
    <n v="0"/>
  </r>
  <r>
    <x v="103"/>
    <x v="103"/>
    <s v="C"/>
    <n v="0"/>
    <n v="0"/>
    <n v="0"/>
    <n v="0"/>
    <n v="0"/>
    <n v="0"/>
  </r>
  <r>
    <x v="103"/>
    <x v="103"/>
    <s v="CH"/>
    <n v="0"/>
    <n v="0"/>
    <n v="0"/>
    <n v="0"/>
    <n v="0"/>
    <n v="0"/>
  </r>
  <r>
    <x v="103"/>
    <x v="103"/>
    <s v="D"/>
    <n v="935"/>
    <n v="928"/>
    <n v="514"/>
    <n v="414"/>
    <n v="461"/>
    <n v="53"/>
  </r>
  <r>
    <x v="103"/>
    <x v="103"/>
    <s v="E"/>
    <n v="288"/>
    <n v="4"/>
    <n v="4"/>
    <n v="0"/>
    <n v="4"/>
    <n v="0"/>
  </r>
  <r>
    <x v="103"/>
    <x v="103"/>
    <s v="F"/>
    <n v="286"/>
    <n v="1053"/>
    <n v="727"/>
    <n v="326"/>
    <n v="654"/>
    <n v="73"/>
  </r>
  <r>
    <x v="103"/>
    <x v="103"/>
    <s v="G"/>
    <n v="737"/>
    <n v="18"/>
    <n v="18"/>
    <n v="0"/>
    <n v="17"/>
    <n v="1"/>
  </r>
  <r>
    <x v="104"/>
    <x v="104"/>
    <s v="A"/>
    <n v="138"/>
    <n v="98"/>
    <n v="98"/>
    <n v="0"/>
    <n v="91"/>
    <n v="7"/>
  </r>
  <r>
    <x v="104"/>
    <x v="104"/>
    <s v="B"/>
    <n v="301"/>
    <n v="253"/>
    <n v="253"/>
    <n v="0"/>
    <n v="195"/>
    <n v="58"/>
  </r>
  <r>
    <x v="104"/>
    <x v="104"/>
    <s v="C"/>
    <n v="945"/>
    <n v="850"/>
    <n v="458"/>
    <n v="392"/>
    <n v="370"/>
    <n v="88"/>
  </r>
  <r>
    <x v="104"/>
    <x v="104"/>
    <s v="CH"/>
    <n v="1783"/>
    <n v="1161"/>
    <n v="1161"/>
    <n v="0"/>
    <n v="1027"/>
    <n v="134"/>
  </r>
  <r>
    <x v="104"/>
    <x v="104"/>
    <s v="D"/>
    <n v="452"/>
    <n v="100"/>
    <n v="100"/>
    <n v="0"/>
    <n v="68"/>
    <n v="32"/>
  </r>
  <r>
    <x v="104"/>
    <x v="104"/>
    <s v="E"/>
    <n v="444"/>
    <n v="408"/>
    <n v="357"/>
    <n v="51"/>
    <n v="298"/>
    <n v="59"/>
  </r>
  <r>
    <x v="104"/>
    <x v="104"/>
    <s v="F"/>
    <n v="0"/>
    <n v="0"/>
    <n v="0"/>
    <n v="0"/>
    <n v="0"/>
    <n v="0"/>
  </r>
  <r>
    <x v="104"/>
    <x v="104"/>
    <s v="G"/>
    <n v="0"/>
    <n v="67"/>
    <n v="67"/>
    <n v="0"/>
    <n v="64"/>
    <n v="3"/>
  </r>
  <r>
    <x v="105"/>
    <x v="105"/>
    <s v="A"/>
    <n v="697"/>
    <n v="471"/>
    <n v="269"/>
    <n v="202"/>
    <n v="234"/>
    <n v="35"/>
  </r>
  <r>
    <x v="105"/>
    <x v="105"/>
    <s v="B"/>
    <n v="48"/>
    <n v="105"/>
    <n v="105"/>
    <n v="0"/>
    <n v="104"/>
    <n v="1"/>
  </r>
  <r>
    <x v="105"/>
    <x v="105"/>
    <s v="C"/>
    <n v="697"/>
    <n v="1345"/>
    <n v="574"/>
    <n v="771"/>
    <n v="559"/>
    <n v="15"/>
  </r>
  <r>
    <x v="105"/>
    <x v="105"/>
    <s v="CH"/>
    <n v="832"/>
    <n v="678"/>
    <n v="530"/>
    <n v="148"/>
    <n v="527"/>
    <n v="3"/>
  </r>
  <r>
    <x v="105"/>
    <x v="105"/>
    <s v="D"/>
    <n v="352"/>
    <n v="294"/>
    <n v="142"/>
    <n v="152"/>
    <n v="129"/>
    <n v="13"/>
  </r>
  <r>
    <x v="105"/>
    <x v="105"/>
    <s v="E"/>
    <n v="896"/>
    <n v="752"/>
    <n v="344"/>
    <n v="408"/>
    <n v="336"/>
    <n v="8"/>
  </r>
  <r>
    <x v="105"/>
    <x v="105"/>
    <s v="F"/>
    <n v="1099"/>
    <n v="213"/>
    <n v="69"/>
    <n v="144"/>
    <n v="61"/>
    <n v="8"/>
  </r>
  <r>
    <x v="105"/>
    <x v="105"/>
    <s v="G"/>
    <n v="663"/>
    <n v="1854"/>
    <n v="1264"/>
    <n v="590"/>
    <n v="1172"/>
    <n v="92"/>
  </r>
  <r>
    <x v="106"/>
    <x v="106"/>
    <s v="A"/>
    <n v="690"/>
    <n v="221"/>
    <n v="127"/>
    <n v="94"/>
    <n v="113"/>
    <n v="14"/>
  </r>
  <r>
    <x v="106"/>
    <x v="106"/>
    <s v="B"/>
    <n v="253"/>
    <n v="0"/>
    <n v="0"/>
    <n v="0"/>
    <n v="0"/>
    <n v="0"/>
  </r>
  <r>
    <x v="106"/>
    <x v="106"/>
    <s v="C"/>
    <n v="945"/>
    <n v="0"/>
    <n v="0"/>
    <n v="0"/>
    <n v="0"/>
    <n v="0"/>
  </r>
  <r>
    <x v="106"/>
    <x v="106"/>
    <s v="CH"/>
    <n v="951"/>
    <n v="16"/>
    <n v="3"/>
    <n v="13"/>
    <n v="2"/>
    <n v="1"/>
  </r>
  <r>
    <x v="106"/>
    <x v="106"/>
    <s v="D"/>
    <n v="1035"/>
    <n v="360"/>
    <n v="258"/>
    <n v="102"/>
    <n v="237"/>
    <n v="21"/>
  </r>
  <r>
    <x v="106"/>
    <x v="106"/>
    <s v="E"/>
    <n v="474"/>
    <n v="538"/>
    <n v="449"/>
    <n v="89"/>
    <n v="408"/>
    <n v="41"/>
  </r>
  <r>
    <x v="106"/>
    <x v="106"/>
    <s v="F"/>
    <n v="286"/>
    <n v="606"/>
    <n v="455"/>
    <n v="151"/>
    <n v="402"/>
    <n v="53"/>
  </r>
  <r>
    <x v="106"/>
    <x v="106"/>
    <s v="G"/>
    <n v="737"/>
    <n v="148"/>
    <n v="86"/>
    <n v="62"/>
    <n v="78"/>
    <n v="8"/>
  </r>
  <r>
    <x v="107"/>
    <x v="107"/>
    <s v="A"/>
    <n v="697"/>
    <n v="0"/>
    <n v="0"/>
    <n v="0"/>
    <n v="0"/>
    <n v="0"/>
  </r>
  <r>
    <x v="107"/>
    <x v="107"/>
    <s v="B"/>
    <n v="48"/>
    <n v="48"/>
    <n v="48"/>
    <n v="0"/>
    <n v="47"/>
    <n v="1"/>
  </r>
  <r>
    <x v="107"/>
    <x v="107"/>
    <s v="C"/>
    <n v="697"/>
    <n v="884"/>
    <n v="539"/>
    <n v="345"/>
    <n v="521"/>
    <n v="18"/>
  </r>
  <r>
    <x v="107"/>
    <x v="107"/>
    <s v="CH"/>
    <n v="708"/>
    <n v="1161"/>
    <n v="986"/>
    <n v="175"/>
    <n v="972"/>
    <n v="14"/>
  </r>
  <r>
    <x v="107"/>
    <x v="107"/>
    <s v="D"/>
    <n v="352"/>
    <n v="0"/>
    <n v="0"/>
    <n v="0"/>
    <n v="0"/>
    <n v="0"/>
  </r>
  <r>
    <x v="107"/>
    <x v="107"/>
    <s v="E"/>
    <n v="926"/>
    <n v="466"/>
    <n v="315"/>
    <n v="151"/>
    <n v="308"/>
    <n v="7"/>
  </r>
  <r>
    <x v="107"/>
    <x v="107"/>
    <s v="F"/>
    <n v="1099"/>
    <n v="0"/>
    <n v="0"/>
    <n v="0"/>
    <n v="0"/>
    <n v="0"/>
  </r>
  <r>
    <x v="107"/>
    <x v="107"/>
    <s v="G"/>
    <n v="663"/>
    <n v="0"/>
    <n v="0"/>
    <n v="0"/>
    <n v="0"/>
    <n v="0"/>
  </r>
  <r>
    <x v="108"/>
    <x v="108"/>
    <s v="A"/>
    <n v="690"/>
    <n v="1727"/>
    <n v="933"/>
    <n v="794"/>
    <n v="822"/>
    <n v="111"/>
  </r>
  <r>
    <x v="108"/>
    <x v="108"/>
    <s v="B"/>
    <n v="253"/>
    <n v="253"/>
    <n v="151"/>
    <n v="102"/>
    <n v="148"/>
    <n v="3"/>
  </r>
  <r>
    <x v="108"/>
    <x v="108"/>
    <s v="C"/>
    <n v="945"/>
    <n v="1063"/>
    <n v="807"/>
    <n v="256"/>
    <n v="785"/>
    <n v="22"/>
  </r>
  <r>
    <x v="108"/>
    <x v="108"/>
    <s v="CH"/>
    <n v="951"/>
    <n v="769"/>
    <n v="671"/>
    <n v="98"/>
    <n v="663"/>
    <n v="8"/>
  </r>
  <r>
    <x v="108"/>
    <x v="108"/>
    <s v="D"/>
    <n v="1035"/>
    <n v="864"/>
    <n v="600"/>
    <n v="264"/>
    <n v="539"/>
    <n v="61"/>
  </r>
  <r>
    <x v="108"/>
    <x v="108"/>
    <s v="E"/>
    <n v="480"/>
    <n v="885"/>
    <n v="598"/>
    <n v="287"/>
    <n v="578"/>
    <n v="20"/>
  </r>
  <r>
    <x v="108"/>
    <x v="108"/>
    <s v="F"/>
    <n v="286"/>
    <n v="122"/>
    <n v="65"/>
    <n v="57"/>
    <n v="56"/>
    <n v="9"/>
  </r>
  <r>
    <x v="108"/>
    <x v="108"/>
    <s v="G"/>
    <n v="737"/>
    <n v="0"/>
    <n v="0"/>
    <n v="0"/>
    <n v="0"/>
    <n v="0"/>
  </r>
  <r>
    <x v="109"/>
    <x v="109"/>
    <s v="A"/>
    <n v="697"/>
    <n v="462"/>
    <n v="225"/>
    <n v="237"/>
    <n v="192"/>
    <n v="33"/>
  </r>
  <r>
    <x v="109"/>
    <x v="109"/>
    <s v="B"/>
    <n v="48"/>
    <n v="152"/>
    <n v="125"/>
    <n v="27"/>
    <n v="123"/>
    <n v="2"/>
  </r>
  <r>
    <x v="109"/>
    <x v="109"/>
    <s v="C"/>
    <n v="697"/>
    <n v="654"/>
    <n v="577"/>
    <n v="77"/>
    <n v="550"/>
    <n v="27"/>
  </r>
  <r>
    <x v="109"/>
    <x v="109"/>
    <s v="CH"/>
    <n v="708"/>
    <n v="1161"/>
    <n v="953"/>
    <n v="208"/>
    <n v="942"/>
    <n v="11"/>
  </r>
  <r>
    <x v="109"/>
    <x v="109"/>
    <s v="D"/>
    <n v="352"/>
    <n v="939"/>
    <n v="621"/>
    <n v="318"/>
    <n v="527"/>
    <n v="94"/>
  </r>
  <r>
    <x v="109"/>
    <x v="109"/>
    <s v="E"/>
    <n v="890"/>
    <n v="666"/>
    <n v="351"/>
    <n v="315"/>
    <n v="343"/>
    <n v="8"/>
  </r>
  <r>
    <x v="109"/>
    <x v="109"/>
    <s v="F"/>
    <n v="1099"/>
    <n v="656"/>
    <n v="375"/>
    <n v="281"/>
    <n v="349"/>
    <n v="26"/>
  </r>
  <r>
    <x v="109"/>
    <x v="109"/>
    <s v="G"/>
    <n v="663"/>
    <n v="934"/>
    <n v="524"/>
    <n v="410"/>
    <n v="480"/>
    <n v="44"/>
  </r>
  <r>
    <x v="110"/>
    <x v="110"/>
    <s v="A"/>
    <n v="690"/>
    <n v="524"/>
    <n v="417"/>
    <n v="107"/>
    <n v="373"/>
    <n v="44"/>
  </r>
  <r>
    <x v="110"/>
    <x v="110"/>
    <s v="B"/>
    <n v="0"/>
    <n v="0"/>
    <n v="0"/>
    <n v="0"/>
    <n v="0"/>
    <n v="0"/>
  </r>
  <r>
    <x v="110"/>
    <x v="110"/>
    <s v="C"/>
    <n v="0"/>
    <n v="0"/>
    <n v="0"/>
    <n v="0"/>
    <n v="0"/>
    <n v="0"/>
  </r>
  <r>
    <x v="110"/>
    <x v="110"/>
    <s v="CH"/>
    <n v="0"/>
    <n v="99"/>
    <n v="41"/>
    <n v="58"/>
    <n v="39"/>
    <n v="2"/>
  </r>
  <r>
    <x v="110"/>
    <x v="110"/>
    <s v="D"/>
    <n v="935"/>
    <n v="343"/>
    <n v="204"/>
    <n v="139"/>
    <n v="173"/>
    <n v="31"/>
  </r>
  <r>
    <x v="110"/>
    <x v="110"/>
    <s v="E"/>
    <n v="288"/>
    <n v="173"/>
    <n v="144"/>
    <n v="29"/>
    <n v="132"/>
    <n v="12"/>
  </r>
  <r>
    <x v="110"/>
    <x v="110"/>
    <s v="F"/>
    <n v="286"/>
    <n v="1057"/>
    <n v="708"/>
    <n v="349"/>
    <n v="575"/>
    <n v="133"/>
  </r>
  <r>
    <x v="110"/>
    <x v="110"/>
    <s v="G"/>
    <n v="737"/>
    <n v="950"/>
    <n v="576"/>
    <n v="374"/>
    <n v="523"/>
    <n v="53"/>
  </r>
  <r>
    <x v="111"/>
    <x v="111"/>
    <s v="A"/>
    <n v="141"/>
    <n v="21"/>
    <n v="0"/>
    <n v="21"/>
    <n v="0"/>
    <n v="0"/>
  </r>
  <r>
    <x v="111"/>
    <x v="111"/>
    <s v="B"/>
    <n v="301"/>
    <n v="85"/>
    <n v="76"/>
    <n v="9"/>
    <n v="73"/>
    <n v="3"/>
  </r>
  <r>
    <x v="111"/>
    <x v="111"/>
    <s v="C"/>
    <n v="945"/>
    <n v="258"/>
    <n v="134"/>
    <n v="124"/>
    <n v="131"/>
    <n v="3"/>
  </r>
  <r>
    <x v="111"/>
    <x v="111"/>
    <s v="CH"/>
    <n v="1659"/>
    <n v="1161"/>
    <n v="1047"/>
    <n v="114"/>
    <n v="1024"/>
    <n v="23"/>
  </r>
  <r>
    <x v="111"/>
    <x v="111"/>
    <s v="D"/>
    <n v="452"/>
    <n v="100"/>
    <n v="97"/>
    <n v="3"/>
    <n v="95"/>
    <n v="2"/>
  </r>
  <r>
    <x v="111"/>
    <x v="111"/>
    <s v="E"/>
    <n v="450"/>
    <n v="333"/>
    <n v="243"/>
    <n v="90"/>
    <n v="238"/>
    <n v="5"/>
  </r>
  <r>
    <x v="111"/>
    <x v="111"/>
    <s v="F"/>
    <n v="0"/>
    <n v="263"/>
    <n v="211"/>
    <n v="52"/>
    <n v="177"/>
    <n v="34"/>
  </r>
  <r>
    <x v="111"/>
    <x v="111"/>
    <s v="G"/>
    <n v="0"/>
    <n v="0"/>
    <n v="0"/>
    <n v="0"/>
    <n v="0"/>
    <n v="0"/>
  </r>
  <r>
    <x v="112"/>
    <x v="112"/>
    <s v="A"/>
    <n v="694"/>
    <n v="975"/>
    <n v="506"/>
    <n v="469"/>
    <n v="424"/>
    <n v="82"/>
  </r>
  <r>
    <x v="112"/>
    <x v="112"/>
    <s v="B"/>
    <n v="48"/>
    <n v="169"/>
    <n v="138"/>
    <n v="31"/>
    <n v="133"/>
    <n v="5"/>
  </r>
  <r>
    <x v="112"/>
    <x v="112"/>
    <s v="C"/>
    <n v="697"/>
    <n v="945"/>
    <n v="622"/>
    <n v="323"/>
    <n v="521"/>
    <n v="101"/>
  </r>
  <r>
    <x v="112"/>
    <x v="112"/>
    <s v="CH"/>
    <n v="951"/>
    <n v="752"/>
    <n v="733"/>
    <n v="19"/>
    <n v="723"/>
    <n v="10"/>
  </r>
  <r>
    <x v="112"/>
    <x v="112"/>
    <s v="D"/>
    <n v="452"/>
    <n v="911"/>
    <n v="497"/>
    <n v="414"/>
    <n v="453"/>
    <n v="44"/>
  </r>
  <r>
    <x v="112"/>
    <x v="112"/>
    <s v="E"/>
    <n v="890"/>
    <n v="1034"/>
    <n v="730"/>
    <n v="304"/>
    <n v="697"/>
    <n v="33"/>
  </r>
  <r>
    <x v="112"/>
    <x v="112"/>
    <s v="F"/>
    <n v="1099"/>
    <n v="527"/>
    <n v="364"/>
    <n v="163"/>
    <n v="338"/>
    <n v="26"/>
  </r>
  <r>
    <x v="112"/>
    <x v="112"/>
    <s v="G"/>
    <n v="663"/>
    <n v="844"/>
    <n v="497"/>
    <n v="347"/>
    <n v="455"/>
    <n v="42"/>
  </r>
  <r>
    <x v="113"/>
    <x v="113"/>
    <s v="A"/>
    <n v="693"/>
    <n v="956"/>
    <n v="590"/>
    <n v="366"/>
    <n v="519"/>
    <n v="71"/>
  </r>
  <r>
    <x v="113"/>
    <x v="113"/>
    <s v="B"/>
    <n v="253"/>
    <n v="129"/>
    <n v="33"/>
    <n v="96"/>
    <n v="31"/>
    <n v="2"/>
  </r>
  <r>
    <x v="113"/>
    <x v="113"/>
    <s v="C"/>
    <n v="945"/>
    <n v="865"/>
    <n v="630"/>
    <n v="235"/>
    <n v="608"/>
    <n v="22"/>
  </r>
  <r>
    <x v="113"/>
    <x v="113"/>
    <s v="CH"/>
    <n v="708"/>
    <n v="980"/>
    <n v="980"/>
    <n v="0"/>
    <n v="966"/>
    <n v="14"/>
  </r>
  <r>
    <x v="113"/>
    <x v="113"/>
    <s v="D"/>
    <n v="935"/>
    <n v="886"/>
    <n v="484"/>
    <n v="402"/>
    <n v="410"/>
    <n v="74"/>
  </r>
  <r>
    <x v="113"/>
    <x v="113"/>
    <s v="E"/>
    <n v="510"/>
    <n v="501"/>
    <n v="272"/>
    <n v="229"/>
    <n v="252"/>
    <n v="20"/>
  </r>
  <r>
    <x v="113"/>
    <x v="113"/>
    <s v="F"/>
    <n v="286"/>
    <n v="754"/>
    <n v="604"/>
    <n v="150"/>
    <n v="526"/>
    <n v="78"/>
  </r>
  <r>
    <x v="113"/>
    <x v="113"/>
    <s v="G"/>
    <n v="737"/>
    <n v="378"/>
    <n v="196"/>
    <n v="182"/>
    <n v="182"/>
    <n v="14"/>
  </r>
  <r>
    <x v="114"/>
    <x v="114"/>
    <s v="A"/>
    <n v="694"/>
    <n v="643"/>
    <n v="465"/>
    <n v="178"/>
    <n v="416"/>
    <n v="49"/>
  </r>
  <r>
    <x v="114"/>
    <x v="114"/>
    <s v="B"/>
    <n v="48"/>
    <n v="145"/>
    <n v="95"/>
    <n v="50"/>
    <n v="94"/>
    <n v="1"/>
  </r>
  <r>
    <x v="114"/>
    <x v="114"/>
    <s v="C"/>
    <n v="697"/>
    <n v="747"/>
    <n v="522"/>
    <n v="225"/>
    <n v="509"/>
    <n v="13"/>
  </r>
  <r>
    <x v="114"/>
    <x v="114"/>
    <s v="CH"/>
    <n v="951"/>
    <n v="839"/>
    <n v="807"/>
    <n v="32"/>
    <n v="798"/>
    <n v="9"/>
  </r>
  <r>
    <x v="114"/>
    <x v="114"/>
    <s v="D"/>
    <n v="452"/>
    <n v="893"/>
    <n v="490"/>
    <n v="403"/>
    <n v="439"/>
    <n v="51"/>
  </r>
  <r>
    <x v="114"/>
    <x v="114"/>
    <s v="E"/>
    <n v="896"/>
    <n v="656"/>
    <n v="585"/>
    <n v="71"/>
    <n v="557"/>
    <n v="28"/>
  </r>
  <r>
    <x v="114"/>
    <x v="114"/>
    <s v="F"/>
    <n v="1099"/>
    <n v="727"/>
    <n v="438"/>
    <n v="289"/>
    <n v="377"/>
    <n v="61"/>
  </r>
  <r>
    <x v="114"/>
    <x v="114"/>
    <s v="G"/>
    <n v="663"/>
    <n v="810"/>
    <n v="524"/>
    <n v="286"/>
    <n v="489"/>
    <n v="35"/>
  </r>
  <r>
    <x v="115"/>
    <x v="115"/>
    <s v="A"/>
    <n v="693"/>
    <n v="1311"/>
    <n v="691"/>
    <n v="620"/>
    <n v="622"/>
    <n v="69"/>
  </r>
  <r>
    <x v="115"/>
    <x v="115"/>
    <s v="B"/>
    <n v="253"/>
    <n v="187"/>
    <n v="127"/>
    <n v="60"/>
    <n v="125"/>
    <n v="2"/>
  </r>
  <r>
    <x v="115"/>
    <x v="115"/>
    <s v="C"/>
    <n v="945"/>
    <n v="731"/>
    <n v="665"/>
    <n v="66"/>
    <n v="653"/>
    <n v="12"/>
  </r>
  <r>
    <x v="115"/>
    <x v="115"/>
    <s v="CH"/>
    <n v="708"/>
    <n v="975"/>
    <n v="975"/>
    <n v="0"/>
    <n v="958"/>
    <n v="17"/>
  </r>
  <r>
    <x v="115"/>
    <x v="115"/>
    <s v="D"/>
    <n v="935"/>
    <n v="895"/>
    <n v="560"/>
    <n v="335"/>
    <n v="442"/>
    <n v="118"/>
  </r>
  <r>
    <x v="115"/>
    <x v="115"/>
    <s v="E"/>
    <n v="474"/>
    <n v="585"/>
    <n v="478"/>
    <n v="107"/>
    <n v="471"/>
    <n v="7"/>
  </r>
  <r>
    <x v="115"/>
    <x v="115"/>
    <s v="F"/>
    <n v="286"/>
    <n v="627"/>
    <n v="345"/>
    <n v="282"/>
    <n v="306"/>
    <n v="39"/>
  </r>
  <r>
    <x v="115"/>
    <x v="115"/>
    <s v="G"/>
    <n v="737"/>
    <n v="922"/>
    <n v="515"/>
    <n v="407"/>
    <n v="407"/>
    <n v="108"/>
  </r>
  <r>
    <x v="116"/>
    <x v="116"/>
    <s v="A"/>
    <n v="694"/>
    <n v="587"/>
    <n v="341"/>
    <n v="246"/>
    <n v="302"/>
    <n v="39"/>
  </r>
  <r>
    <x v="116"/>
    <x v="116"/>
    <s v="B"/>
    <n v="48"/>
    <n v="190"/>
    <n v="128"/>
    <n v="62"/>
    <n v="125"/>
    <n v="3"/>
  </r>
  <r>
    <x v="116"/>
    <x v="116"/>
    <s v="C"/>
    <n v="697"/>
    <n v="769"/>
    <n v="646"/>
    <n v="123"/>
    <n v="633"/>
    <n v="13"/>
  </r>
  <r>
    <x v="116"/>
    <x v="116"/>
    <s v="CH"/>
    <n v="951"/>
    <n v="838"/>
    <n v="838"/>
    <n v="0"/>
    <n v="830"/>
    <n v="8"/>
  </r>
  <r>
    <x v="116"/>
    <x v="116"/>
    <s v="D"/>
    <n v="452"/>
    <n v="840"/>
    <n v="625"/>
    <n v="215"/>
    <n v="570"/>
    <n v="55"/>
  </r>
  <r>
    <x v="116"/>
    <x v="116"/>
    <s v="E"/>
    <n v="926"/>
    <n v="928"/>
    <n v="683"/>
    <n v="245"/>
    <n v="623"/>
    <n v="60"/>
  </r>
  <r>
    <x v="116"/>
    <x v="116"/>
    <s v="F"/>
    <n v="1099"/>
    <n v="723"/>
    <n v="634"/>
    <n v="89"/>
    <n v="524"/>
    <n v="110"/>
  </r>
  <r>
    <x v="116"/>
    <x v="116"/>
    <s v="G"/>
    <n v="663"/>
    <n v="550"/>
    <n v="404"/>
    <n v="146"/>
    <n v="382"/>
    <n v="22"/>
  </r>
  <r>
    <x v="117"/>
    <x v="117"/>
    <s v="A"/>
    <n v="693"/>
    <n v="557"/>
    <n v="318"/>
    <n v="239"/>
    <n v="295"/>
    <n v="23"/>
  </r>
  <r>
    <x v="117"/>
    <x v="117"/>
    <s v="B"/>
    <n v="0"/>
    <n v="63"/>
    <n v="63"/>
    <n v="0"/>
    <n v="62"/>
    <n v="1"/>
  </r>
  <r>
    <x v="117"/>
    <x v="117"/>
    <s v="C"/>
    <n v="0"/>
    <n v="137"/>
    <n v="126"/>
    <n v="11"/>
    <n v="117"/>
    <n v="9"/>
  </r>
  <r>
    <x v="117"/>
    <x v="117"/>
    <s v="CH"/>
    <n v="0"/>
    <n v="0"/>
    <n v="0"/>
    <n v="0"/>
    <n v="0"/>
    <n v="0"/>
  </r>
  <r>
    <x v="117"/>
    <x v="117"/>
    <s v="D"/>
    <n v="935"/>
    <n v="774"/>
    <n v="527"/>
    <n v="247"/>
    <n v="462"/>
    <n v="65"/>
  </r>
  <r>
    <x v="117"/>
    <x v="117"/>
    <s v="E"/>
    <n v="288"/>
    <n v="326"/>
    <n v="269"/>
    <n v="57"/>
    <n v="242"/>
    <n v="27"/>
  </r>
  <r>
    <x v="117"/>
    <x v="117"/>
    <s v="F"/>
    <n v="286"/>
    <n v="700"/>
    <n v="514"/>
    <n v="186"/>
    <n v="468"/>
    <n v="46"/>
  </r>
  <r>
    <x v="117"/>
    <x v="117"/>
    <s v="G"/>
    <n v="737"/>
    <n v="474"/>
    <n v="238"/>
    <n v="236"/>
    <n v="218"/>
    <n v="20"/>
  </r>
  <r>
    <x v="118"/>
    <x v="118"/>
    <s v="A"/>
    <n v="138"/>
    <n v="669"/>
    <n v="190"/>
    <n v="479"/>
    <n v="161"/>
    <n v="29"/>
  </r>
  <r>
    <x v="118"/>
    <x v="118"/>
    <s v="B"/>
    <n v="301"/>
    <n v="157"/>
    <n v="157"/>
    <n v="0"/>
    <n v="154"/>
    <n v="3"/>
  </r>
  <r>
    <x v="118"/>
    <x v="118"/>
    <s v="C"/>
    <n v="945"/>
    <n v="749"/>
    <n v="590"/>
    <n v="159"/>
    <n v="577"/>
    <n v="13"/>
  </r>
  <r>
    <x v="118"/>
    <x v="118"/>
    <s v="CH"/>
    <n v="1659"/>
    <n v="1161"/>
    <n v="1024"/>
    <n v="137"/>
    <n v="1015"/>
    <n v="9"/>
  </r>
  <r>
    <x v="118"/>
    <x v="118"/>
    <s v="D"/>
    <n v="452"/>
    <n v="0"/>
    <n v="0"/>
    <n v="0"/>
    <n v="0"/>
    <n v="0"/>
  </r>
  <r>
    <x v="118"/>
    <x v="118"/>
    <s v="E"/>
    <n v="378"/>
    <n v="264"/>
    <n v="81"/>
    <n v="183"/>
    <n v="78"/>
    <n v="3"/>
  </r>
  <r>
    <x v="118"/>
    <x v="118"/>
    <s v="F"/>
    <n v="36"/>
    <n v="0"/>
    <n v="0"/>
    <n v="0"/>
    <n v="0"/>
    <n v="0"/>
  </r>
  <r>
    <x v="118"/>
    <x v="118"/>
    <s v="G"/>
    <n v="0"/>
    <n v="1"/>
    <n v="1"/>
    <n v="0"/>
    <n v="1"/>
    <n v="0"/>
  </r>
  <r>
    <x v="119"/>
    <x v="119"/>
    <s v="A"/>
    <n v="697"/>
    <n v="1220"/>
    <n v="461"/>
    <n v="759"/>
    <n v="403"/>
    <n v="58"/>
  </r>
  <r>
    <x v="119"/>
    <x v="119"/>
    <s v="B"/>
    <n v="48"/>
    <n v="48"/>
    <n v="48"/>
    <n v="0"/>
    <n v="45"/>
    <n v="3"/>
  </r>
  <r>
    <x v="119"/>
    <x v="119"/>
    <s v="C"/>
    <n v="697"/>
    <n v="882"/>
    <n v="576"/>
    <n v="306"/>
    <n v="569"/>
    <n v="7"/>
  </r>
  <r>
    <x v="119"/>
    <x v="119"/>
    <s v="CH"/>
    <n v="832"/>
    <n v="766"/>
    <n v="763"/>
    <n v="3"/>
    <n v="753"/>
    <n v="10"/>
  </r>
  <r>
    <x v="119"/>
    <x v="119"/>
    <s v="D"/>
    <n v="352"/>
    <n v="846"/>
    <n v="484"/>
    <n v="362"/>
    <n v="435"/>
    <n v="49"/>
  </r>
  <r>
    <x v="119"/>
    <x v="119"/>
    <s v="E"/>
    <n v="926"/>
    <n v="780"/>
    <n v="608"/>
    <n v="172"/>
    <n v="595"/>
    <n v="13"/>
  </r>
  <r>
    <x v="119"/>
    <x v="119"/>
    <s v="F"/>
    <n v="1099"/>
    <n v="784"/>
    <n v="447"/>
    <n v="337"/>
    <n v="383"/>
    <n v="64"/>
  </r>
  <r>
    <x v="119"/>
    <x v="119"/>
    <s v="G"/>
    <n v="663"/>
    <n v="671"/>
    <n v="295"/>
    <n v="376"/>
    <n v="266"/>
    <n v="29"/>
  </r>
  <r>
    <x v="120"/>
    <x v="120"/>
    <s v="A"/>
    <n v="690"/>
    <n v="724"/>
    <n v="425"/>
    <n v="299"/>
    <n v="387"/>
    <n v="38"/>
  </r>
  <r>
    <x v="120"/>
    <x v="120"/>
    <s v="B"/>
    <n v="253"/>
    <n v="253"/>
    <n v="234"/>
    <n v="19"/>
    <n v="230"/>
    <n v="4"/>
  </r>
  <r>
    <x v="120"/>
    <x v="120"/>
    <s v="C"/>
    <n v="945"/>
    <n v="588"/>
    <n v="175"/>
    <n v="413"/>
    <n v="166"/>
    <n v="9"/>
  </r>
  <r>
    <x v="120"/>
    <x v="120"/>
    <s v="CH"/>
    <n v="951"/>
    <n v="990"/>
    <n v="990"/>
    <n v="0"/>
    <n v="980"/>
    <n v="10"/>
  </r>
  <r>
    <x v="120"/>
    <x v="120"/>
    <s v="D"/>
    <n v="1035"/>
    <n v="653"/>
    <n v="449"/>
    <n v="204"/>
    <n v="404"/>
    <n v="45"/>
  </r>
  <r>
    <x v="120"/>
    <x v="120"/>
    <s v="E"/>
    <n v="480"/>
    <n v="556"/>
    <n v="499"/>
    <n v="57"/>
    <n v="483"/>
    <n v="16"/>
  </r>
  <r>
    <x v="120"/>
    <x v="120"/>
    <s v="F"/>
    <n v="286"/>
    <n v="897"/>
    <n v="505"/>
    <n v="392"/>
    <n v="452"/>
    <n v="53"/>
  </r>
  <r>
    <x v="120"/>
    <x v="120"/>
    <s v="G"/>
    <n v="737"/>
    <n v="741"/>
    <n v="432"/>
    <n v="309"/>
    <n v="388"/>
    <n v="44"/>
  </r>
  <r>
    <x v="121"/>
    <x v="121"/>
    <s v="A"/>
    <n v="697"/>
    <n v="826"/>
    <n v="585"/>
    <n v="241"/>
    <n v="530"/>
    <n v="55"/>
  </r>
  <r>
    <x v="121"/>
    <x v="121"/>
    <s v="B"/>
    <n v="48"/>
    <n v="70"/>
    <n v="70"/>
    <n v="0"/>
    <n v="69"/>
    <n v="1"/>
  </r>
  <r>
    <x v="121"/>
    <x v="121"/>
    <s v="C"/>
    <n v="697"/>
    <n v="963"/>
    <n v="589"/>
    <n v="374"/>
    <n v="581"/>
    <n v="8"/>
  </r>
  <r>
    <x v="121"/>
    <x v="121"/>
    <s v="CH"/>
    <n v="832"/>
    <n v="810"/>
    <n v="780"/>
    <n v="30"/>
    <n v="765"/>
    <n v="15"/>
  </r>
  <r>
    <x v="121"/>
    <x v="121"/>
    <s v="D"/>
    <n v="352"/>
    <n v="735"/>
    <n v="471"/>
    <n v="264"/>
    <n v="417"/>
    <n v="54"/>
  </r>
  <r>
    <x v="121"/>
    <x v="121"/>
    <s v="E"/>
    <n v="890"/>
    <n v="494"/>
    <n v="453"/>
    <n v="41"/>
    <n v="394"/>
    <n v="59"/>
  </r>
  <r>
    <x v="121"/>
    <x v="121"/>
    <s v="F"/>
    <n v="1099"/>
    <n v="628"/>
    <n v="347"/>
    <n v="281"/>
    <n v="306"/>
    <n v="41"/>
  </r>
  <r>
    <x v="121"/>
    <x v="121"/>
    <s v="G"/>
    <n v="663"/>
    <n v="430"/>
    <n v="217"/>
    <n v="213"/>
    <n v="195"/>
    <n v="22"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  <r>
    <x v="122"/>
    <x v="12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07EAA-A857-4157-91DE-A8F7E2A237B6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3:B33" firstHeaderRow="1" firstDataRow="1" firstDataCol="1" rowPageCount="1" colPageCount="1"/>
  <pivotFields count="14">
    <pivotField axis="axisPage" multipleItemSelectionAllowed="1" showAll="0">
      <items count="12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h="1" x="122"/>
        <item x="115"/>
        <item x="116"/>
        <item x="117"/>
        <item x="118"/>
        <item x="119"/>
        <item x="120"/>
        <item x="121"/>
        <item t="default"/>
      </items>
    </pivotField>
    <pivotField axis="axisRow" showAll="0">
      <items count="239">
        <item m="1" x="234"/>
        <item m="1" x="143"/>
        <item m="1" x="206"/>
        <item m="1" x="178"/>
        <item m="1" x="150"/>
        <item m="1" x="213"/>
        <item m="1" x="185"/>
        <item m="1" x="157"/>
        <item m="1" x="220"/>
        <item m="1" x="129"/>
        <item m="1" x="192"/>
        <item m="1" x="164"/>
        <item m="1" x="227"/>
        <item m="1" x="136"/>
        <item m="1" x="199"/>
        <item m="1" x="171"/>
        <item m="1" x="203"/>
        <item m="1" x="175"/>
        <item m="1" x="147"/>
        <item m="1" x="210"/>
        <item m="1" x="182"/>
        <item m="1" x="154"/>
        <item m="1" x="217"/>
        <item m="1" x="126"/>
        <item m="1" x="189"/>
        <item m="1" x="161"/>
        <item m="1" x="224"/>
        <item m="1" x="133"/>
        <item m="1" x="196"/>
        <item m="1" x="168"/>
        <item m="1" x="231"/>
        <item m="1" x="140"/>
        <item m="1" x="172"/>
        <item m="1" x="235"/>
        <item m="1" x="144"/>
        <item m="1" x="207"/>
        <item m="1" x="179"/>
        <item m="1" x="151"/>
        <item m="1" x="214"/>
        <item m="1" x="123"/>
        <item m="1" x="186"/>
        <item m="1" x="158"/>
        <item m="1" x="221"/>
        <item m="1" x="130"/>
        <item m="1" x="193"/>
        <item m="1" x="165"/>
        <item m="1" x="228"/>
        <item m="1" x="137"/>
        <item m="1" x="200"/>
        <item m="1" x="173"/>
        <item m="1" x="236"/>
        <item m="1" x="145"/>
        <item m="1" x="208"/>
        <item m="1" x="180"/>
        <item m="1" x="152"/>
        <item m="1" x="215"/>
        <item m="1" x="124"/>
        <item m="1" x="187"/>
        <item m="1" x="159"/>
        <item m="1" x="222"/>
        <item m="1" x="131"/>
        <item m="1" x="194"/>
        <item m="1" x="166"/>
        <item m="1" x="229"/>
        <item m="1" x="138"/>
        <item m="1" x="201"/>
        <item m="1" x="202"/>
        <item m="1" x="174"/>
        <item m="1" x="237"/>
        <item m="1" x="146"/>
        <item m="1" x="209"/>
        <item m="1" x="181"/>
        <item m="1" x="153"/>
        <item m="1" x="216"/>
        <item m="1" x="125"/>
        <item m="1" x="188"/>
        <item m="1" x="160"/>
        <item m="1" x="223"/>
        <item m="1" x="132"/>
        <item m="1" x="195"/>
        <item m="1" x="167"/>
        <item m="1" x="230"/>
        <item m="1" x="139"/>
        <item m="1" x="233"/>
        <item m="1" x="142"/>
        <item m="1" x="205"/>
        <item m="1" x="177"/>
        <item m="1" x="149"/>
        <item m="1" x="212"/>
        <item m="1" x="184"/>
        <item m="1" x="156"/>
        <item m="1" x="219"/>
        <item m="1" x="128"/>
        <item m="1" x="191"/>
        <item m="1" x="163"/>
        <item m="1" x="226"/>
        <item m="1" x="135"/>
        <item m="1" x="198"/>
        <item m="1" x="170"/>
        <item m="1" x="141"/>
        <item m="1" x="204"/>
        <item m="1" x="176"/>
        <item m="1" x="148"/>
        <item m="1" x="211"/>
        <item m="1" x="183"/>
        <item m="1" x="155"/>
        <item m="1" x="218"/>
        <item m="1" x="127"/>
        <item m="1" x="190"/>
        <item m="1" x="162"/>
        <item m="1" x="225"/>
        <item m="1" x="134"/>
        <item m="1" x="197"/>
        <item m="1" x="169"/>
        <item m="1" x="232"/>
        <item x="1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x="17"/>
        <item x="18"/>
        <item x="19"/>
      </items>
    </pivotField>
  </pivotFields>
  <rowFields count="1">
    <field x="1"/>
  </rowFields>
  <rowItems count="30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 t="grand">
      <x/>
    </i>
  </rowItems>
  <colItems count="1">
    <i/>
  </colItems>
  <pageFields count="1">
    <pageField fld="0" hier="-1"/>
  </pageFields>
  <dataFields count="1">
    <dataField name="VACIADOS " fld="7" baseField="0" baseItem="93"/>
  </dataFields>
  <formats count="4"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field="0" type="button" dataOnly="0" labelOnly="1" outline="0" axis="axisPage" fieldPosition="0"/>
    </format>
    <format dxfId="24">
      <pivotArea field="0" type="button" dataOnly="0" labelOnly="1" outline="0" axis="axisPage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8BD06-1B65-4487-8E37-132243B86B12}" name="TablaDinámica1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L5:P129" firstHeaderRow="0" firstDataRow="1" firstDataCol="1"/>
  <pivotFields count="14">
    <pivotField axis="axisRow" numFmtId="14" showAll="0" sortType="ascending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PLANIFICADOS" fld="3" baseField="0" baseItem="0"/>
    <dataField name="Suma de PROGRAMADOS" fld="4" baseField="0" baseItem="0"/>
    <dataField name="Suma de VISITADOS" fld="5" baseField="0" baseItem="0"/>
    <dataField name="Suma de VACIADO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916AF-E04D-449B-8064-64748970D5DF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14">
    <pivotField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22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Row" showAll="0">
      <items count="2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t="default"/>
      </items>
    </pivotField>
  </pivotFields>
  <rowFields count="1">
    <field x="13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Promedio Visitados semanal " fld="11" baseField="0" baseItem="0"/>
  </dataFields>
  <formats count="2">
    <format dxfId="27">
      <pivotArea grandRow="1" outline="0" collapsedLevelsAreSubtotals="1" fieldPosition="0"/>
    </format>
    <format dxfId="26">
      <pivotArea collapsedLevelsAreSubtotals="1" fieldPosition="0">
        <references count="1">
          <reference field="13" count="0"/>
        </references>
      </pivotArea>
    </format>
  </formats>
  <chartFormats count="3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9D85A-DC4A-4F17-91BE-D5439E336D4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4:O34" firstHeaderRow="0" firstDataRow="1" firstDataCol="1"/>
  <pivotFields count="11">
    <pivotField axis="axisRow" showAll="0">
      <items count="116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x="24"/>
        <item x="25"/>
        <item h="1" x="26"/>
        <item h="1" x="27"/>
        <item h="1" x="28"/>
        <item h="1" x="29"/>
        <item h="1" x="30"/>
        <item x="31"/>
        <item x="32"/>
        <item x="33"/>
        <item h="1" x="34"/>
        <item h="1" x="35"/>
        <item h="1" x="36"/>
        <item x="37"/>
        <item x="38"/>
        <item x="39"/>
        <item x="40"/>
        <item h="1" x="41"/>
        <item h="1" x="42"/>
        <item x="43"/>
        <item h="1" x="44"/>
        <item x="45"/>
        <item x="46"/>
        <item x="47"/>
        <item h="1" x="48"/>
        <item h="1" x="49"/>
        <item x="50"/>
        <item x="51"/>
        <item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x="70"/>
        <item x="71"/>
        <item h="1" x="72"/>
        <item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0">
    <i>
      <x v="8"/>
    </i>
    <i>
      <x v="9"/>
    </i>
    <i>
      <x v="10"/>
    </i>
    <i>
      <x v="11"/>
    </i>
    <i>
      <x v="23"/>
    </i>
    <i>
      <x v="24"/>
    </i>
    <i>
      <x v="25"/>
    </i>
    <i>
      <x v="31"/>
    </i>
    <i>
      <x v="32"/>
    </i>
    <i>
      <x v="33"/>
    </i>
    <i>
      <x v="37"/>
    </i>
    <i>
      <x v="38"/>
    </i>
    <i>
      <x v="39"/>
    </i>
    <i>
      <x v="40"/>
    </i>
    <i>
      <x v="43"/>
    </i>
    <i>
      <x v="45"/>
    </i>
    <i>
      <x v="46"/>
    </i>
    <i>
      <x v="47"/>
    </i>
    <i>
      <x v="50"/>
    </i>
    <i>
      <x v="51"/>
    </i>
    <i>
      <x v="52"/>
    </i>
    <i>
      <x v="53"/>
    </i>
    <i>
      <x v="54"/>
    </i>
    <i>
      <x v="68"/>
    </i>
    <i>
      <x v="70"/>
    </i>
    <i>
      <x v="71"/>
    </i>
    <i>
      <x v="73"/>
    </i>
    <i>
      <x v="74"/>
    </i>
    <i>
      <x v="8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CAMIONES DISPONIBLES" fld="3" baseField="0" baseItem="8"/>
    <dataField name="Suma de CHOFERES" fld="4" baseField="0" baseItem="31"/>
    <dataField name="Suma de AUXILIAR" fld="5" baseField="0" baseItem="31"/>
    <dataField name="Suma de CAMIONES UTILIZADOS" fld="6" baseField="0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A2D1C2-2EEB-4F9A-A19B-468E3C304136}" name="Tabla5" displayName="Tabla5" ref="E41:F45" totalsRowShown="0">
  <autoFilter ref="E41:F45" xr:uid="{D9A2D1C2-2EEB-4F9A-A19B-468E3C304136}"/>
  <tableColumns count="2">
    <tableColumn id="1" xr3:uid="{EC617C5D-85E0-4931-8637-A2F73690A3C2}" name="Fecha" dataDxfId="41"/>
    <tableColumn id="2" xr3:uid="{18A63357-20F0-4BA4-A1DE-F2E7FAEEEBF1}" name="Total contenedores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62BD6-A201-41E3-8C0A-ED85ABB0B9A8}" name="Tabla1" displayName="Tabla1" ref="L545:S548" totalsRowShown="0" headerRowDxfId="39" headerRowBorderDxfId="38" tableBorderDxfId="37" totalsRowBorderDxfId="36">
  <autoFilter ref="L545:S548" xr:uid="{2C062BD6-A201-41E3-8C0A-ED85ABB0B9A8}"/>
  <tableColumns count="8">
    <tableColumn id="1" xr3:uid="{486139A5-868D-484C-9A3D-CE0B2BB42110}" name="Mes" dataDxfId="35"/>
    <tableColumn id="2" xr3:uid="{ED18E0C5-C4CB-479D-8970-015A86392D10}" name="Planificados 100%" dataDxfId="34"/>
    <tableColumn id="3" xr3:uid="{249A42FE-E0F3-4C91-9750-4C0D689C722F}" name="Promedio programados" dataDxfId="33"/>
    <tableColumn id="4" xr3:uid="{BBD2C0FF-2D70-4700-B9DA-D972C580DD5A}" name="%promedio programados" dataDxfId="32" dataCellStyle="Porcentaje">
      <calculatedColumnFormula>N546/M546</calculatedColumnFormula>
    </tableColumn>
    <tableColumn id="5" xr3:uid="{73265FE1-51CF-4347-94A0-4E8F63E9AC91}" name="Promedio visitados" dataDxfId="31"/>
    <tableColumn id="6" xr3:uid="{4979AAC1-619B-4856-97BD-F948767E9CAE}" name="% promedio visitados" dataDxfId="30" dataCellStyle="Porcentaje">
      <calculatedColumnFormula>P546/M546</calculatedColumnFormula>
    </tableColumn>
    <tableColumn id="7" xr3:uid="{802C24CB-8544-408D-8D2E-06694A14E599}" name="Promedio vaciados" dataDxfId="29"/>
    <tableColumn id="8" xr3:uid="{B7B9D584-19EE-4556-96C9-C4294CC32FD8}" name="% Promedio vaciados" dataDxfId="28" dataCellStyle="Porcentaje">
      <calculatedColumnFormula>R546/M546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4180F-49BB-4B54-85F0-9476772BC5B2}" name="Tabla2" displayName="Tabla2" ref="A1:I959" totalsRowShown="0" headerRowDxfId="20" dataDxfId="19">
  <autoFilter ref="A1:I959" xr:uid="{87D4180F-49BB-4B54-85F0-9476772BC5B2}"/>
  <tableColumns count="9">
    <tableColumn id="1" xr3:uid="{EC254A6E-30AE-4592-AE0B-0775F1B388D9}" name="FECHA" dataDxfId="18"/>
    <tableColumn id="2" xr3:uid="{FB6E1324-D6C8-4CCB-A65C-491804F84C44}" name="Dia" dataDxfId="17">
      <calculatedColumnFormula>PROPER(TEXT(A2,"[$-es-ES]dd/mm/yy dddd"))</calculatedColumnFormula>
    </tableColumn>
    <tableColumn id="3" xr3:uid="{C310BE20-C767-4C61-8310-F549F2B30607}" name="MUNICIPIO" dataDxfId="16"/>
    <tableColumn id="4" xr3:uid="{1BF7D9FD-0D0F-424F-BDA3-D412751455B7}" name="PLANIFICADOS" dataDxfId="15"/>
    <tableColumn id="5" xr3:uid="{E9F96712-5401-4BEF-999E-823A558E70E8}" name="PROGRAMADOS" dataDxfId="14"/>
    <tableColumn id="6" xr3:uid="{4DEAEA8B-F129-4D76-88A7-95CCEE9D5609}" name="VISITADOS" dataDxfId="13"/>
    <tableColumn id="7" xr3:uid="{3CDE39ED-A2B3-4199-BB7B-F07D08FAB0A3}" name="NO VISITADOS" dataDxfId="12"/>
    <tableColumn id="8" xr3:uid="{5F59CB58-4584-40FE-B4C4-B316A7C87B9F}" name="VACIADOS" dataDxfId="11"/>
    <tableColumn id="9" xr3:uid="{AC594862-A933-471C-A0DE-B7DE7F53D260}" name="NO VACIADOS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A3C2B1-214A-4CE3-8B29-1D7636EC1078}" name="Tabla4" displayName="Tabla4" ref="A1:I343" totalsRowShown="0">
  <autoFilter ref="A1:I343" xr:uid="{8BA3C2B1-214A-4CE3-8B29-1D7636EC1078}"/>
  <tableColumns count="9">
    <tableColumn id="1" xr3:uid="{873A1E78-1611-42F9-ACFC-2F2991A5DDD2}" name="DIA NUM" dataDxfId="25"/>
    <tableColumn id="2" xr3:uid="{D43BD6E6-09A6-4521-856F-7389C04ECEF9}" name="DIA"/>
    <tableColumn id="3" xr3:uid="{89D7E39B-EA49-468D-A805-5F4E97F62948}" name="TURNOS"/>
    <tableColumn id="4" xr3:uid="{10BD8BD1-B969-43D5-ADC8-4C2A305758AB}" name="CAMIONES DISPONIBLES"/>
    <tableColumn id="5" xr3:uid="{8912A2E0-F013-4940-8DAF-80A0F80B0685}" name="CHOFERES"/>
    <tableColumn id="6" xr3:uid="{E42945EA-5BC2-4C87-AE2B-920ADB57262A}" name="AUXILIAR"/>
    <tableColumn id="7" xr3:uid="{0C4F1BD2-FCD1-4978-AA41-45D67282A28F}" name="CAMIONES UTILIZADOS"/>
    <tableColumn id="8" xr3:uid="{326E7269-DBE9-4255-99FC-472FB86E553B}" name="DENUNCIA"/>
    <tableColumn id="9" xr3:uid="{8CC40398-E611-4AD5-88DF-4D738136BBAA}" name="TRIPUL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5C50-1865-4EE5-BAC4-78AA76078F8C}">
  <dimension ref="A1:F45"/>
  <sheetViews>
    <sheetView tabSelected="1" workbookViewId="0">
      <selection activeCell="B32" sqref="A3:B32"/>
    </sheetView>
  </sheetViews>
  <sheetFormatPr baseColWidth="10" defaultRowHeight="12.75" x14ac:dyDescent="0.2"/>
  <cols>
    <col min="1" max="1" width="17.85546875" bestFit="1" customWidth="1"/>
    <col min="2" max="2" width="19" bestFit="1" customWidth="1"/>
    <col min="5" max="5" width="13.7109375" bestFit="1" customWidth="1"/>
    <col min="6" max="6" width="20.5703125" customWidth="1"/>
  </cols>
  <sheetData>
    <row r="1" spans="1:2" x14ac:dyDescent="0.2">
      <c r="A1" s="31" t="s">
        <v>0</v>
      </c>
      <c r="B1" t="s">
        <v>106</v>
      </c>
    </row>
    <row r="3" spans="1:2" x14ac:dyDescent="0.2">
      <c r="A3" s="13" t="s">
        <v>29</v>
      </c>
      <c r="B3" s="30" t="s">
        <v>82</v>
      </c>
    </row>
    <row r="4" spans="1:2" x14ac:dyDescent="0.2">
      <c r="A4" s="14" t="s">
        <v>84</v>
      </c>
      <c r="B4" s="33">
        <v>3062</v>
      </c>
    </row>
    <row r="5" spans="1:2" x14ac:dyDescent="0.2">
      <c r="A5" s="14" t="s">
        <v>85</v>
      </c>
      <c r="B5" s="33">
        <v>4324</v>
      </c>
    </row>
    <row r="6" spans="1:2" x14ac:dyDescent="0.2">
      <c r="A6" s="14" t="s">
        <v>86</v>
      </c>
      <c r="B6" s="33">
        <v>3638</v>
      </c>
    </row>
    <row r="7" spans="1:2" x14ac:dyDescent="0.2">
      <c r="A7" s="14" t="s">
        <v>87</v>
      </c>
      <c r="B7" s="33">
        <v>969</v>
      </c>
    </row>
    <row r="8" spans="1:2" x14ac:dyDescent="0.2">
      <c r="A8" s="14" t="s">
        <v>88</v>
      </c>
      <c r="B8" s="33">
        <v>1953</v>
      </c>
    </row>
    <row r="9" spans="1:2" x14ac:dyDescent="0.2">
      <c r="A9" s="14" t="s">
        <v>89</v>
      </c>
      <c r="B9" s="33">
        <v>2456</v>
      </c>
    </row>
    <row r="10" spans="1:2" x14ac:dyDescent="0.2">
      <c r="A10" s="14" t="s">
        <v>90</v>
      </c>
      <c r="B10" s="33">
        <v>3320</v>
      </c>
    </row>
    <row r="11" spans="1:2" x14ac:dyDescent="0.2">
      <c r="A11" s="14" t="s">
        <v>91</v>
      </c>
      <c r="B11" s="33">
        <v>3580</v>
      </c>
    </row>
    <row r="12" spans="1:2" x14ac:dyDescent="0.2">
      <c r="A12" s="14" t="s">
        <v>92</v>
      </c>
      <c r="B12" s="33">
        <v>3710</v>
      </c>
    </row>
    <row r="13" spans="1:2" x14ac:dyDescent="0.2">
      <c r="A13" s="14" t="s">
        <v>93</v>
      </c>
      <c r="B13" s="33">
        <v>3442</v>
      </c>
    </row>
    <row r="14" spans="1:2" x14ac:dyDescent="0.2">
      <c r="A14" s="14" t="s">
        <v>94</v>
      </c>
      <c r="B14" s="33">
        <v>1602</v>
      </c>
    </row>
    <row r="15" spans="1:2" x14ac:dyDescent="0.2">
      <c r="A15" s="14" t="s">
        <v>95</v>
      </c>
      <c r="B15" s="33">
        <v>2113</v>
      </c>
    </row>
    <row r="16" spans="1:2" x14ac:dyDescent="0.2">
      <c r="A16" s="14" t="s">
        <v>96</v>
      </c>
      <c r="B16" s="33">
        <v>3122</v>
      </c>
    </row>
    <row r="17" spans="1:2" x14ac:dyDescent="0.2">
      <c r="A17" s="14" t="s">
        <v>97</v>
      </c>
      <c r="B17" s="33">
        <v>1240</v>
      </c>
    </row>
    <row r="18" spans="1:2" x14ac:dyDescent="0.2">
      <c r="A18" s="14" t="s">
        <v>98</v>
      </c>
      <c r="B18" s="33">
        <v>1848</v>
      </c>
    </row>
    <row r="19" spans="1:2" x14ac:dyDescent="0.2">
      <c r="A19" s="14" t="s">
        <v>99</v>
      </c>
      <c r="B19" s="33">
        <v>3591</v>
      </c>
    </row>
    <row r="20" spans="1:2" x14ac:dyDescent="0.2">
      <c r="A20" s="14" t="s">
        <v>100</v>
      </c>
      <c r="B20" s="33">
        <v>3506</v>
      </c>
    </row>
    <row r="21" spans="1:2" x14ac:dyDescent="0.2">
      <c r="A21" s="14" t="s">
        <v>101</v>
      </c>
      <c r="B21" s="33">
        <v>1815</v>
      </c>
    </row>
    <row r="22" spans="1:2" x14ac:dyDescent="0.2">
      <c r="A22" s="14" t="s">
        <v>102</v>
      </c>
      <c r="B22" s="33">
        <v>1738</v>
      </c>
    </row>
    <row r="23" spans="1:2" x14ac:dyDescent="0.2">
      <c r="A23" s="14" t="s">
        <v>103</v>
      </c>
      <c r="B23" s="33">
        <v>3744</v>
      </c>
    </row>
    <row r="24" spans="1:2" x14ac:dyDescent="0.2">
      <c r="A24" s="14" t="s">
        <v>104</v>
      </c>
      <c r="B24" s="33">
        <v>3494</v>
      </c>
    </row>
    <row r="25" spans="1:2" x14ac:dyDescent="0.2">
      <c r="A25" s="14" t="s">
        <v>105</v>
      </c>
      <c r="B25" s="33">
        <v>3679</v>
      </c>
    </row>
    <row r="26" spans="1:2" x14ac:dyDescent="0.2">
      <c r="A26" s="14" t="s">
        <v>107</v>
      </c>
      <c r="B26" s="33">
        <v>3984</v>
      </c>
    </row>
    <row r="27" spans="1:2" x14ac:dyDescent="0.2">
      <c r="A27" s="14" t="s">
        <v>108</v>
      </c>
      <c r="B27" s="33">
        <v>3989</v>
      </c>
    </row>
    <row r="28" spans="1:2" x14ac:dyDescent="0.2">
      <c r="A28" s="14" t="s">
        <v>109</v>
      </c>
      <c r="B28" s="33">
        <v>1864</v>
      </c>
    </row>
    <row r="29" spans="1:2" x14ac:dyDescent="0.2">
      <c r="A29" s="14" t="s">
        <v>110</v>
      </c>
      <c r="B29" s="33">
        <v>1986</v>
      </c>
    </row>
    <row r="30" spans="1:2" x14ac:dyDescent="0.2">
      <c r="A30" s="14" t="s">
        <v>111</v>
      </c>
      <c r="B30" s="33">
        <v>3449</v>
      </c>
    </row>
    <row r="31" spans="1:2" x14ac:dyDescent="0.2">
      <c r="A31" s="14" t="s">
        <v>115</v>
      </c>
      <c r="B31" s="33">
        <v>3490</v>
      </c>
    </row>
    <row r="32" spans="1:2" x14ac:dyDescent="0.2">
      <c r="A32" s="14" t="s">
        <v>116</v>
      </c>
      <c r="B32" s="33">
        <v>3257</v>
      </c>
    </row>
    <row r="33" spans="1:6" x14ac:dyDescent="0.2">
      <c r="A33" s="14" t="s">
        <v>30</v>
      </c>
      <c r="B33" s="33">
        <v>83965</v>
      </c>
    </row>
    <row r="41" spans="1:6" x14ac:dyDescent="0.2">
      <c r="E41" t="s">
        <v>113</v>
      </c>
      <c r="F41" t="s">
        <v>114</v>
      </c>
    </row>
    <row r="42" spans="1:6" x14ac:dyDescent="0.2">
      <c r="E42" s="14" t="s">
        <v>89</v>
      </c>
      <c r="F42">
        <v>2456</v>
      </c>
    </row>
    <row r="43" spans="1:6" x14ac:dyDescent="0.2">
      <c r="E43" s="14" t="s">
        <v>96</v>
      </c>
      <c r="F43">
        <v>3122</v>
      </c>
    </row>
    <row r="44" spans="1:6" x14ac:dyDescent="0.2">
      <c r="E44" s="14" t="s">
        <v>103</v>
      </c>
      <c r="F44">
        <v>3744</v>
      </c>
    </row>
    <row r="45" spans="1:6" x14ac:dyDescent="0.2">
      <c r="E45" s="14" t="s">
        <v>111</v>
      </c>
      <c r="F45">
        <v>3449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248"/>
  <sheetViews>
    <sheetView zoomScale="85" zoomScaleNormal="85" workbookViewId="0">
      <pane ySplit="1" topLeftCell="A922" activePane="bottomLeft" state="frozen"/>
      <selection pane="bottomLeft" activeCell="C952" sqref="C952:I959"/>
    </sheetView>
  </sheetViews>
  <sheetFormatPr baseColWidth="10" defaultColWidth="12.5703125" defaultRowHeight="15.75" customHeight="1" x14ac:dyDescent="0.2"/>
  <cols>
    <col min="4" max="4" width="16.42578125" customWidth="1"/>
    <col min="5" max="5" width="17.42578125" customWidth="1"/>
    <col min="6" max="6" width="13" customWidth="1"/>
    <col min="7" max="7" width="16" customWidth="1"/>
    <col min="8" max="8" width="12.7109375" customWidth="1"/>
    <col min="9" max="9" width="15.85546875" customWidth="1"/>
    <col min="12" max="12" width="18.42578125" bestFit="1" customWidth="1"/>
    <col min="13" max="13" width="23.85546875" bestFit="1" customWidth="1"/>
    <col min="14" max="14" width="24.85546875" bestFit="1" customWidth="1"/>
    <col min="15" max="15" width="20" bestFit="1" customWidth="1"/>
    <col min="16" max="16" width="19.5703125" bestFit="1" customWidth="1"/>
    <col min="17" max="17" width="23.140625" customWidth="1"/>
    <col min="18" max="18" width="20.85546875" customWidth="1"/>
    <col min="19" max="19" width="22.85546875" customWidth="1"/>
  </cols>
  <sheetData>
    <row r="1" spans="1:17" ht="12.75" x14ac:dyDescent="0.2">
      <c r="A1" s="1" t="s">
        <v>0</v>
      </c>
      <c r="B1" s="32" t="s">
        <v>83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2" t="s">
        <v>7</v>
      </c>
    </row>
    <row r="2" spans="1:17" ht="15" x14ac:dyDescent="0.25">
      <c r="A2" s="4">
        <v>45852</v>
      </c>
      <c r="B2" s="1" t="str">
        <f>PROPER(TEXT(A2,"[$-es-ES]dd/mm/yy dddd"))</f>
        <v>14/07/25 Lunes</v>
      </c>
      <c r="C2" s="1" t="s">
        <v>8</v>
      </c>
      <c r="D2">
        <v>694</v>
      </c>
      <c r="E2" s="1">
        <v>970</v>
      </c>
      <c r="F2" s="2">
        <v>385</v>
      </c>
      <c r="G2" s="2">
        <v>585</v>
      </c>
      <c r="H2" s="2">
        <v>369</v>
      </c>
      <c r="I2" s="1">
        <v>16</v>
      </c>
    </row>
    <row r="3" spans="1:17" ht="15" x14ac:dyDescent="0.25">
      <c r="A3" s="4">
        <v>45852</v>
      </c>
      <c r="B3" s="1" t="str">
        <f t="shared" ref="B3:B66" si="0">PROPER(TEXT(A3,"[$-es-ES]dd/mm/yy dddd"))</f>
        <v>14/07/25 Lunes</v>
      </c>
      <c r="C3" s="1" t="s">
        <v>9</v>
      </c>
      <c r="D3">
        <v>48</v>
      </c>
      <c r="E3" s="1">
        <v>84</v>
      </c>
      <c r="F3" s="2">
        <v>84</v>
      </c>
      <c r="G3" s="2">
        <v>0</v>
      </c>
      <c r="H3" s="2">
        <v>84</v>
      </c>
      <c r="I3" s="1">
        <v>0</v>
      </c>
    </row>
    <row r="4" spans="1:17" ht="15" x14ac:dyDescent="0.25">
      <c r="A4" s="4">
        <v>45852</v>
      </c>
      <c r="B4" s="1" t="str">
        <f t="shared" si="0"/>
        <v>14/07/25 Lunes</v>
      </c>
      <c r="C4" s="1" t="s">
        <v>10</v>
      </c>
      <c r="D4">
        <v>697</v>
      </c>
      <c r="E4" s="1">
        <v>1190</v>
      </c>
      <c r="F4" s="2">
        <v>1139</v>
      </c>
      <c r="G4" s="2">
        <v>51</v>
      </c>
      <c r="H4" s="2">
        <v>1121</v>
      </c>
      <c r="I4" s="1">
        <v>18</v>
      </c>
    </row>
    <row r="5" spans="1:17" ht="15" x14ac:dyDescent="0.25">
      <c r="A5" s="4">
        <v>45852</v>
      </c>
      <c r="B5" s="1" t="str">
        <f t="shared" si="0"/>
        <v>14/07/25 Lunes</v>
      </c>
      <c r="C5" s="1" t="s">
        <v>11</v>
      </c>
      <c r="D5">
        <v>951</v>
      </c>
      <c r="E5" s="1">
        <v>824</v>
      </c>
      <c r="F5" s="2">
        <v>749</v>
      </c>
      <c r="G5" s="2">
        <v>75</v>
      </c>
      <c r="H5" s="2">
        <v>740</v>
      </c>
      <c r="I5" s="1">
        <v>9</v>
      </c>
      <c r="L5" s="13" t="s">
        <v>29</v>
      </c>
      <c r="M5" t="s">
        <v>25</v>
      </c>
      <c r="N5" t="s">
        <v>26</v>
      </c>
      <c r="O5" t="s">
        <v>28</v>
      </c>
      <c r="P5" t="s">
        <v>27</v>
      </c>
      <c r="Q5" t="s">
        <v>48</v>
      </c>
    </row>
    <row r="6" spans="1:17" ht="15" x14ac:dyDescent="0.25">
      <c r="A6" s="4">
        <v>45852</v>
      </c>
      <c r="B6" s="1" t="str">
        <f t="shared" si="0"/>
        <v>14/07/25 Lunes</v>
      </c>
      <c r="C6" s="1" t="s">
        <v>12</v>
      </c>
      <c r="D6">
        <v>452</v>
      </c>
      <c r="E6" s="1">
        <v>2163</v>
      </c>
      <c r="F6" s="2">
        <v>800</v>
      </c>
      <c r="G6" s="2">
        <v>1363</v>
      </c>
      <c r="H6" s="2">
        <v>709</v>
      </c>
      <c r="I6" s="1">
        <v>91</v>
      </c>
      <c r="K6" s="29">
        <f>L6</f>
        <v>45852</v>
      </c>
      <c r="L6" s="27">
        <v>45852</v>
      </c>
      <c r="M6" s="33">
        <v>5500</v>
      </c>
      <c r="N6" s="33">
        <v>7726</v>
      </c>
      <c r="O6" s="33">
        <v>4431</v>
      </c>
      <c r="P6" s="33">
        <v>4245</v>
      </c>
      <c r="Q6">
        <f>IF(GETPIVOTDATA("Suma de VISITADOS",$L$5,"FECHA",K6)&gt;GETPIVOTDATA("Suma de PLANIFICADOS",$L$5,"FECHA",K6),K6,0)</f>
        <v>0</v>
      </c>
    </row>
    <row r="7" spans="1:17" ht="15" x14ac:dyDescent="0.25">
      <c r="A7" s="4">
        <v>45852</v>
      </c>
      <c r="B7" s="1" t="str">
        <f t="shared" si="0"/>
        <v>14/07/25 Lunes</v>
      </c>
      <c r="C7" s="1" t="s">
        <v>13</v>
      </c>
      <c r="D7">
        <v>896</v>
      </c>
      <c r="E7" s="1">
        <v>1057</v>
      </c>
      <c r="F7" s="2">
        <v>878</v>
      </c>
      <c r="G7" s="2">
        <v>179</v>
      </c>
      <c r="H7" s="2">
        <v>853</v>
      </c>
      <c r="I7" s="1">
        <v>25</v>
      </c>
      <c r="K7" s="29">
        <f t="shared" ref="K7:K70" si="1">L7</f>
        <v>45853</v>
      </c>
      <c r="L7" s="27">
        <v>45853</v>
      </c>
      <c r="M7" s="33">
        <v>5155</v>
      </c>
      <c r="N7" s="33">
        <v>7597</v>
      </c>
      <c r="O7" s="33">
        <v>5058</v>
      </c>
      <c r="P7" s="33">
        <v>4838</v>
      </c>
      <c r="Q7">
        <f t="shared" ref="Q7:Q70" si="2">IF(GETPIVOTDATA("Suma de VISITADOS",$L$5,"FECHA",K7)&gt;GETPIVOTDATA("Suma de PLANIFICADOS",$L$5,"FECHA",K7),K7,0)</f>
        <v>0</v>
      </c>
    </row>
    <row r="8" spans="1:17" ht="15" x14ac:dyDescent="0.25">
      <c r="A8" s="4">
        <v>45852</v>
      </c>
      <c r="B8" s="1" t="str">
        <f t="shared" si="0"/>
        <v>14/07/25 Lunes</v>
      </c>
      <c r="C8" s="1" t="s">
        <v>14</v>
      </c>
      <c r="D8">
        <v>1099</v>
      </c>
      <c r="E8" s="1">
        <v>243</v>
      </c>
      <c r="F8" s="2">
        <v>7</v>
      </c>
      <c r="G8" s="2">
        <v>236</v>
      </c>
      <c r="H8" s="2">
        <v>5</v>
      </c>
      <c r="I8" s="1">
        <v>2</v>
      </c>
      <c r="K8" s="29">
        <f t="shared" si="1"/>
        <v>45854</v>
      </c>
      <c r="L8" s="27">
        <v>45854</v>
      </c>
      <c r="M8" s="33">
        <v>5530</v>
      </c>
      <c r="N8" s="33">
        <v>6550</v>
      </c>
      <c r="O8" s="33">
        <v>4809</v>
      </c>
      <c r="P8" s="33">
        <v>4589</v>
      </c>
      <c r="Q8">
        <f t="shared" si="2"/>
        <v>0</v>
      </c>
    </row>
    <row r="9" spans="1:17" ht="15" x14ac:dyDescent="0.25">
      <c r="A9" s="4">
        <v>45852</v>
      </c>
      <c r="B9" s="1" t="str">
        <f t="shared" si="0"/>
        <v>14/07/25 Lunes</v>
      </c>
      <c r="C9" s="1" t="s">
        <v>15</v>
      </c>
      <c r="D9">
        <v>663</v>
      </c>
      <c r="E9" s="1">
        <v>1195</v>
      </c>
      <c r="F9" s="2">
        <v>389</v>
      </c>
      <c r="G9" s="2">
        <v>806</v>
      </c>
      <c r="H9" s="2">
        <v>364</v>
      </c>
      <c r="I9" s="1">
        <v>25</v>
      </c>
      <c r="K9" s="29">
        <f t="shared" si="1"/>
        <v>45855</v>
      </c>
      <c r="L9" s="27">
        <v>45855</v>
      </c>
      <c r="M9" s="33">
        <v>5161</v>
      </c>
      <c r="N9" s="33">
        <v>6550</v>
      </c>
      <c r="O9" s="33">
        <v>5110</v>
      </c>
      <c r="P9" s="33">
        <v>4833</v>
      </c>
      <c r="Q9">
        <f t="shared" si="2"/>
        <v>0</v>
      </c>
    </row>
    <row r="10" spans="1:17" ht="15" x14ac:dyDescent="0.25">
      <c r="A10" s="4">
        <v>45853</v>
      </c>
      <c r="B10" s="1" t="str">
        <f t="shared" si="0"/>
        <v>15/07/25 Martes</v>
      </c>
      <c r="C10" s="1" t="s">
        <v>8</v>
      </c>
      <c r="D10">
        <v>693</v>
      </c>
      <c r="E10" s="1">
        <v>1826</v>
      </c>
      <c r="F10" s="2">
        <v>849</v>
      </c>
      <c r="G10" s="2">
        <v>977</v>
      </c>
      <c r="H10" s="2">
        <v>797</v>
      </c>
      <c r="I10" s="1">
        <v>52</v>
      </c>
      <c r="K10" s="29">
        <f t="shared" si="1"/>
        <v>45856</v>
      </c>
      <c r="L10" s="27">
        <v>45856</v>
      </c>
      <c r="M10" s="33">
        <v>5494</v>
      </c>
      <c r="N10" s="33">
        <v>3551</v>
      </c>
      <c r="O10" s="33">
        <v>3262</v>
      </c>
      <c r="P10" s="33">
        <v>3157</v>
      </c>
      <c r="Q10">
        <f t="shared" si="2"/>
        <v>0</v>
      </c>
    </row>
    <row r="11" spans="1:17" ht="15" x14ac:dyDescent="0.25">
      <c r="A11" s="4">
        <v>45853</v>
      </c>
      <c r="B11" s="1" t="str">
        <f t="shared" si="0"/>
        <v>15/07/25 Martes</v>
      </c>
      <c r="C11" s="1" t="s">
        <v>9</v>
      </c>
      <c r="D11">
        <v>253</v>
      </c>
      <c r="E11" s="1">
        <v>255</v>
      </c>
      <c r="F11" s="2">
        <v>255</v>
      </c>
      <c r="G11" s="2">
        <v>0</v>
      </c>
      <c r="H11" s="2">
        <v>255</v>
      </c>
      <c r="I11" s="1">
        <v>0</v>
      </c>
      <c r="K11" s="29">
        <f t="shared" si="1"/>
        <v>45857</v>
      </c>
      <c r="L11" s="27">
        <v>45857</v>
      </c>
      <c r="M11" s="33">
        <v>2939</v>
      </c>
      <c r="N11" s="33">
        <v>3588</v>
      </c>
      <c r="O11" s="33">
        <v>2280</v>
      </c>
      <c r="P11" s="33">
        <v>2054</v>
      </c>
      <c r="Q11">
        <f t="shared" si="2"/>
        <v>0</v>
      </c>
    </row>
    <row r="12" spans="1:17" ht="15" x14ac:dyDescent="0.25">
      <c r="A12" s="4">
        <v>45853</v>
      </c>
      <c r="B12" s="1" t="str">
        <f t="shared" si="0"/>
        <v>15/07/25 Martes</v>
      </c>
      <c r="C12" s="1" t="s">
        <v>10</v>
      </c>
      <c r="D12">
        <v>945</v>
      </c>
      <c r="E12" s="1">
        <v>677</v>
      </c>
      <c r="F12" s="2">
        <v>677</v>
      </c>
      <c r="G12" s="2">
        <v>0</v>
      </c>
      <c r="H12" s="2">
        <v>669</v>
      </c>
      <c r="I12" s="1">
        <v>8</v>
      </c>
      <c r="K12" s="29">
        <f t="shared" si="1"/>
        <v>45858</v>
      </c>
      <c r="L12" s="27">
        <v>45858</v>
      </c>
      <c r="M12" s="33">
        <v>4069</v>
      </c>
      <c r="N12" s="33">
        <v>4703</v>
      </c>
      <c r="O12" s="33">
        <v>3410</v>
      </c>
      <c r="P12" s="33">
        <v>3258</v>
      </c>
      <c r="Q12">
        <f t="shared" si="2"/>
        <v>0</v>
      </c>
    </row>
    <row r="13" spans="1:17" ht="15" x14ac:dyDescent="0.25">
      <c r="A13" s="4">
        <v>45853</v>
      </c>
      <c r="B13" s="1" t="str">
        <f t="shared" si="0"/>
        <v>15/07/25 Martes</v>
      </c>
      <c r="C13" s="1" t="s">
        <v>11</v>
      </c>
      <c r="D13">
        <v>832</v>
      </c>
      <c r="E13" s="1">
        <v>1151</v>
      </c>
      <c r="F13" s="2">
        <v>1128</v>
      </c>
      <c r="G13" s="2">
        <v>23</v>
      </c>
      <c r="H13" s="2">
        <v>1113</v>
      </c>
      <c r="I13" s="1">
        <v>15</v>
      </c>
      <c r="K13" s="29">
        <f t="shared" si="1"/>
        <v>45859</v>
      </c>
      <c r="L13" s="27">
        <v>45859</v>
      </c>
      <c r="M13" s="33">
        <v>5278</v>
      </c>
      <c r="N13" s="33">
        <v>7129</v>
      </c>
      <c r="O13" s="33">
        <v>4723</v>
      </c>
      <c r="P13" s="33">
        <v>4477</v>
      </c>
      <c r="Q13">
        <f t="shared" si="2"/>
        <v>0</v>
      </c>
    </row>
    <row r="14" spans="1:17" ht="15" x14ac:dyDescent="0.25">
      <c r="A14" s="4">
        <v>45853</v>
      </c>
      <c r="B14" s="1" t="str">
        <f t="shared" si="0"/>
        <v>15/07/25 Martes</v>
      </c>
      <c r="C14" s="1" t="s">
        <v>12</v>
      </c>
      <c r="D14">
        <v>935</v>
      </c>
      <c r="E14" s="1">
        <v>859</v>
      </c>
      <c r="F14" s="2">
        <v>478</v>
      </c>
      <c r="G14" s="2">
        <v>381</v>
      </c>
      <c r="H14" s="2">
        <v>445</v>
      </c>
      <c r="I14" s="1">
        <v>33</v>
      </c>
      <c r="K14" s="29">
        <f t="shared" si="1"/>
        <v>45860</v>
      </c>
      <c r="L14" s="27">
        <v>45860</v>
      </c>
      <c r="M14" s="33">
        <v>5407</v>
      </c>
      <c r="N14" s="33">
        <v>7949</v>
      </c>
      <c r="O14" s="33">
        <v>5681</v>
      </c>
      <c r="P14" s="33">
        <v>5340</v>
      </c>
      <c r="Q14" s="29">
        <f t="shared" si="2"/>
        <v>45860</v>
      </c>
    </row>
    <row r="15" spans="1:17" ht="15" x14ac:dyDescent="0.25">
      <c r="A15" s="4">
        <v>45853</v>
      </c>
      <c r="B15" s="1" t="str">
        <f t="shared" si="0"/>
        <v>15/07/25 Martes</v>
      </c>
      <c r="C15" s="1" t="s">
        <v>13</v>
      </c>
      <c r="D15">
        <v>474</v>
      </c>
      <c r="E15" s="1">
        <v>402</v>
      </c>
      <c r="F15" s="2">
        <v>371</v>
      </c>
      <c r="G15" s="2">
        <v>31</v>
      </c>
      <c r="H15" s="2">
        <v>355</v>
      </c>
      <c r="I15" s="1">
        <v>16</v>
      </c>
      <c r="K15" s="29">
        <f t="shared" si="1"/>
        <v>45861</v>
      </c>
      <c r="L15" s="27">
        <v>45861</v>
      </c>
      <c r="M15" s="33">
        <v>5284</v>
      </c>
      <c r="N15" s="33">
        <v>7600</v>
      </c>
      <c r="O15" s="33">
        <v>5743</v>
      </c>
      <c r="P15" s="33">
        <v>5441</v>
      </c>
      <c r="Q15" s="29">
        <f t="shared" si="2"/>
        <v>45861</v>
      </c>
    </row>
    <row r="16" spans="1:17" ht="15" x14ac:dyDescent="0.25">
      <c r="A16" s="4">
        <v>45853</v>
      </c>
      <c r="B16" s="1" t="str">
        <f t="shared" si="0"/>
        <v>15/07/25 Martes</v>
      </c>
      <c r="C16" s="1" t="s">
        <v>14</v>
      </c>
      <c r="D16">
        <v>286</v>
      </c>
      <c r="E16" s="1">
        <v>1285</v>
      </c>
      <c r="F16" s="2">
        <v>666</v>
      </c>
      <c r="G16" s="2">
        <v>619</v>
      </c>
      <c r="H16" s="2">
        <v>615</v>
      </c>
      <c r="I16" s="1">
        <v>51</v>
      </c>
      <c r="K16" s="29">
        <f t="shared" si="1"/>
        <v>45862</v>
      </c>
      <c r="L16" s="27">
        <v>45862</v>
      </c>
      <c r="M16" s="33">
        <v>5371</v>
      </c>
      <c r="N16" s="33">
        <v>6338</v>
      </c>
      <c r="O16" s="33">
        <v>5474</v>
      </c>
      <c r="P16" s="33">
        <v>5185</v>
      </c>
      <c r="Q16" s="29">
        <f t="shared" si="2"/>
        <v>45862</v>
      </c>
    </row>
    <row r="17" spans="1:17" ht="15" x14ac:dyDescent="0.25">
      <c r="A17" s="4">
        <v>45853</v>
      </c>
      <c r="B17" s="1" t="str">
        <f t="shared" si="0"/>
        <v>15/07/25 Martes</v>
      </c>
      <c r="C17" s="1" t="s">
        <v>15</v>
      </c>
      <c r="D17">
        <v>737</v>
      </c>
      <c r="E17" s="1">
        <v>1142</v>
      </c>
      <c r="F17" s="2">
        <v>634</v>
      </c>
      <c r="G17" s="2">
        <v>508</v>
      </c>
      <c r="H17" s="2">
        <v>589</v>
      </c>
      <c r="I17" s="1">
        <v>45</v>
      </c>
      <c r="K17" s="29">
        <f t="shared" si="1"/>
        <v>45863</v>
      </c>
      <c r="L17" s="27">
        <v>45863</v>
      </c>
      <c r="M17" s="33">
        <v>5314</v>
      </c>
      <c r="N17" s="33">
        <v>7776</v>
      </c>
      <c r="O17" s="33">
        <v>5558</v>
      </c>
      <c r="P17" s="33">
        <v>5191</v>
      </c>
      <c r="Q17" s="29">
        <f t="shared" si="2"/>
        <v>45863</v>
      </c>
    </row>
    <row r="18" spans="1:17" ht="15" x14ac:dyDescent="0.25">
      <c r="A18" s="4">
        <v>45854</v>
      </c>
      <c r="B18" s="1" t="str">
        <f t="shared" si="0"/>
        <v>16/07/25 Miércoles</v>
      </c>
      <c r="C18" s="1" t="s">
        <v>8</v>
      </c>
      <c r="D18">
        <v>694</v>
      </c>
      <c r="E18" s="1">
        <v>1047</v>
      </c>
      <c r="F18" s="2">
        <v>548</v>
      </c>
      <c r="G18" s="2">
        <v>499</v>
      </c>
      <c r="H18" s="2">
        <v>522</v>
      </c>
      <c r="I18" s="1">
        <v>26</v>
      </c>
      <c r="K18" s="29">
        <f t="shared" si="1"/>
        <v>45864</v>
      </c>
      <c r="L18" s="27">
        <v>45864</v>
      </c>
      <c r="M18" s="33">
        <v>2936</v>
      </c>
      <c r="N18" s="33">
        <v>4657</v>
      </c>
      <c r="O18" s="33">
        <v>2847</v>
      </c>
      <c r="P18" s="33">
        <v>2623</v>
      </c>
      <c r="Q18">
        <f t="shared" si="2"/>
        <v>0</v>
      </c>
    </row>
    <row r="19" spans="1:17" ht="15" x14ac:dyDescent="0.25">
      <c r="A19" s="4">
        <v>45854</v>
      </c>
      <c r="B19" s="1" t="str">
        <f t="shared" si="0"/>
        <v>16/07/25 Miércoles</v>
      </c>
      <c r="C19" s="1" t="s">
        <v>9</v>
      </c>
      <c r="D19">
        <v>48</v>
      </c>
      <c r="E19" s="1">
        <v>48</v>
      </c>
      <c r="F19" s="2">
        <v>48</v>
      </c>
      <c r="G19" s="2">
        <v>0</v>
      </c>
      <c r="H19" s="2">
        <v>48</v>
      </c>
      <c r="I19" s="1">
        <v>0</v>
      </c>
      <c r="K19" s="29">
        <f t="shared" si="1"/>
        <v>45865</v>
      </c>
      <c r="L19" s="27">
        <v>45865</v>
      </c>
      <c r="M19" s="33">
        <v>4036</v>
      </c>
      <c r="N19" s="33">
        <v>3980</v>
      </c>
      <c r="O19" s="33">
        <v>3443</v>
      </c>
      <c r="P19" s="33">
        <v>2931</v>
      </c>
      <c r="Q19">
        <f t="shared" si="2"/>
        <v>0</v>
      </c>
    </row>
    <row r="20" spans="1:17" ht="15" x14ac:dyDescent="0.25">
      <c r="A20" s="4">
        <v>45854</v>
      </c>
      <c r="B20" s="1" t="str">
        <f t="shared" si="0"/>
        <v>16/07/25 Miércoles</v>
      </c>
      <c r="C20" s="1" t="s">
        <v>10</v>
      </c>
      <c r="D20">
        <v>697</v>
      </c>
      <c r="E20" s="1">
        <v>1172</v>
      </c>
      <c r="F20" s="2">
        <v>1092</v>
      </c>
      <c r="G20" s="2">
        <v>80</v>
      </c>
      <c r="H20" s="2">
        <v>1083</v>
      </c>
      <c r="I20" s="1">
        <v>9</v>
      </c>
      <c r="K20" s="29">
        <f t="shared" si="1"/>
        <v>45866</v>
      </c>
      <c r="L20" s="27">
        <v>45866</v>
      </c>
      <c r="M20" s="33">
        <v>5530</v>
      </c>
      <c r="N20" s="33">
        <v>4561</v>
      </c>
      <c r="O20" s="33">
        <v>3883</v>
      </c>
      <c r="P20" s="33">
        <v>3724</v>
      </c>
      <c r="Q20">
        <f t="shared" si="2"/>
        <v>0</v>
      </c>
    </row>
    <row r="21" spans="1:17" ht="15" x14ac:dyDescent="0.25">
      <c r="A21" s="4">
        <v>45854</v>
      </c>
      <c r="B21" s="1" t="str">
        <f t="shared" si="0"/>
        <v>16/07/25 Miércoles</v>
      </c>
      <c r="C21" s="1" t="s">
        <v>11</v>
      </c>
      <c r="D21">
        <v>951</v>
      </c>
      <c r="E21" s="1">
        <v>663</v>
      </c>
      <c r="F21" s="2">
        <v>663</v>
      </c>
      <c r="G21" s="2">
        <v>0</v>
      </c>
      <c r="H21" s="2">
        <v>654</v>
      </c>
      <c r="I21" s="1">
        <v>9</v>
      </c>
      <c r="K21" s="29">
        <f t="shared" si="1"/>
        <v>45867</v>
      </c>
      <c r="L21" s="27">
        <v>45867</v>
      </c>
      <c r="M21" s="33">
        <v>5161</v>
      </c>
      <c r="N21" s="33">
        <v>7341</v>
      </c>
      <c r="O21" s="33">
        <v>4938</v>
      </c>
      <c r="P21" s="33">
        <v>4679</v>
      </c>
      <c r="Q21">
        <f t="shared" si="2"/>
        <v>0</v>
      </c>
    </row>
    <row r="22" spans="1:17" ht="15" x14ac:dyDescent="0.25">
      <c r="A22" s="4">
        <v>45854</v>
      </c>
      <c r="B22" s="1" t="str">
        <f t="shared" si="0"/>
        <v>16/07/25 Miércoles</v>
      </c>
      <c r="C22" s="1" t="s">
        <v>12</v>
      </c>
      <c r="D22">
        <v>452</v>
      </c>
      <c r="E22" s="1">
        <v>973</v>
      </c>
      <c r="F22" s="2">
        <v>740</v>
      </c>
      <c r="G22" s="2">
        <v>233</v>
      </c>
      <c r="H22" s="2">
        <v>663</v>
      </c>
      <c r="I22" s="1">
        <v>77</v>
      </c>
      <c r="K22" s="29">
        <f t="shared" si="1"/>
        <v>45868</v>
      </c>
      <c r="L22" s="27">
        <v>45868</v>
      </c>
      <c r="M22" s="33">
        <v>5494</v>
      </c>
      <c r="N22" s="33">
        <v>7060</v>
      </c>
      <c r="O22" s="33">
        <v>4713</v>
      </c>
      <c r="P22" s="33">
        <v>4514</v>
      </c>
      <c r="Q22">
        <f t="shared" si="2"/>
        <v>0</v>
      </c>
    </row>
    <row r="23" spans="1:17" ht="15" x14ac:dyDescent="0.25">
      <c r="A23" s="4">
        <v>45854</v>
      </c>
      <c r="B23" s="1" t="str">
        <f t="shared" si="0"/>
        <v>16/07/25 Miércoles</v>
      </c>
      <c r="C23" s="1" t="s">
        <v>13</v>
      </c>
      <c r="D23">
        <v>926</v>
      </c>
      <c r="E23" s="1">
        <v>1455</v>
      </c>
      <c r="F23" s="2">
        <v>967</v>
      </c>
      <c r="G23" s="2">
        <v>488</v>
      </c>
      <c r="H23" s="2">
        <v>931</v>
      </c>
      <c r="I23" s="1">
        <v>36</v>
      </c>
      <c r="K23" s="29">
        <f t="shared" si="1"/>
        <v>45869</v>
      </c>
      <c r="L23" s="27">
        <v>45869</v>
      </c>
      <c r="M23" s="33">
        <v>5191</v>
      </c>
      <c r="N23" s="33">
        <v>6234</v>
      </c>
      <c r="O23" s="33">
        <v>5113</v>
      </c>
      <c r="P23" s="33">
        <v>4760</v>
      </c>
      <c r="Q23">
        <f t="shared" si="2"/>
        <v>0</v>
      </c>
    </row>
    <row r="24" spans="1:17" ht="15" x14ac:dyDescent="0.25">
      <c r="A24" s="4">
        <v>45854</v>
      </c>
      <c r="B24" s="1" t="str">
        <f t="shared" si="0"/>
        <v>16/07/25 Miércoles</v>
      </c>
      <c r="C24" s="1" t="s">
        <v>14</v>
      </c>
      <c r="D24">
        <v>1099</v>
      </c>
      <c r="E24" s="1">
        <v>815</v>
      </c>
      <c r="F24" s="2">
        <v>549</v>
      </c>
      <c r="G24" s="2">
        <v>266</v>
      </c>
      <c r="H24" s="2">
        <v>505</v>
      </c>
      <c r="I24" s="1">
        <v>44</v>
      </c>
      <c r="K24" s="29">
        <f t="shared" si="1"/>
        <v>45870</v>
      </c>
      <c r="L24" s="27">
        <v>45870</v>
      </c>
      <c r="M24" s="33">
        <v>5500</v>
      </c>
      <c r="N24" s="33">
        <v>6418</v>
      </c>
      <c r="O24" s="33">
        <v>5290</v>
      </c>
      <c r="P24" s="33">
        <v>4988</v>
      </c>
      <c r="Q24">
        <f t="shared" si="2"/>
        <v>0</v>
      </c>
    </row>
    <row r="25" spans="1:17" ht="15" x14ac:dyDescent="0.25">
      <c r="A25" s="4">
        <v>45854</v>
      </c>
      <c r="B25" s="1" t="str">
        <f t="shared" si="0"/>
        <v>16/07/25 Miércoles</v>
      </c>
      <c r="C25" s="1" t="s">
        <v>15</v>
      </c>
      <c r="D25">
        <v>663</v>
      </c>
      <c r="E25" s="1">
        <v>377</v>
      </c>
      <c r="F25" s="2">
        <v>202</v>
      </c>
      <c r="G25" s="2">
        <v>175</v>
      </c>
      <c r="H25" s="2">
        <v>183</v>
      </c>
      <c r="I25" s="1">
        <v>19</v>
      </c>
      <c r="K25" s="29">
        <f t="shared" si="1"/>
        <v>45871</v>
      </c>
      <c r="L25" s="27">
        <v>45871</v>
      </c>
      <c r="M25" s="33">
        <v>2939</v>
      </c>
      <c r="N25" s="33">
        <v>4284</v>
      </c>
      <c r="O25" s="33">
        <v>2747</v>
      </c>
      <c r="P25" s="33">
        <v>2509</v>
      </c>
      <c r="Q25">
        <f t="shared" si="2"/>
        <v>0</v>
      </c>
    </row>
    <row r="26" spans="1:17" ht="15" x14ac:dyDescent="0.25">
      <c r="A26" s="4">
        <v>45855</v>
      </c>
      <c r="B26" s="1" t="str">
        <f t="shared" si="0"/>
        <v>17/07/25 Jueves</v>
      </c>
      <c r="C26" s="1" t="s">
        <v>8</v>
      </c>
      <c r="D26">
        <v>693</v>
      </c>
      <c r="E26" s="1">
        <v>1154</v>
      </c>
      <c r="F26" s="2">
        <v>796</v>
      </c>
      <c r="G26" s="2">
        <v>358</v>
      </c>
      <c r="H26" s="2">
        <v>746</v>
      </c>
      <c r="I26" s="1">
        <v>50</v>
      </c>
      <c r="K26" s="29">
        <f t="shared" si="1"/>
        <v>45872</v>
      </c>
      <c r="L26" s="27">
        <v>45872</v>
      </c>
      <c r="M26" s="33">
        <v>4063</v>
      </c>
      <c r="N26" s="33">
        <v>4118</v>
      </c>
      <c r="O26" s="33">
        <v>3711</v>
      </c>
      <c r="P26" s="33">
        <v>3568</v>
      </c>
      <c r="Q26">
        <f t="shared" si="2"/>
        <v>0</v>
      </c>
    </row>
    <row r="27" spans="1:17" ht="15" x14ac:dyDescent="0.25">
      <c r="A27" s="4">
        <v>45855</v>
      </c>
      <c r="B27" s="1" t="str">
        <f t="shared" si="0"/>
        <v>17/07/25 Jueves</v>
      </c>
      <c r="C27" s="1" t="s">
        <v>9</v>
      </c>
      <c r="D27">
        <v>253</v>
      </c>
      <c r="E27" s="1">
        <v>254</v>
      </c>
      <c r="F27" s="2">
        <v>242</v>
      </c>
      <c r="G27" s="2">
        <v>12</v>
      </c>
      <c r="H27" s="2">
        <v>240</v>
      </c>
      <c r="I27" s="1">
        <v>2</v>
      </c>
      <c r="K27" s="29">
        <f t="shared" si="1"/>
        <v>45873</v>
      </c>
      <c r="L27" s="27">
        <v>45873</v>
      </c>
      <c r="M27" s="33">
        <v>5284</v>
      </c>
      <c r="N27" s="33">
        <v>7983</v>
      </c>
      <c r="O27" s="33">
        <v>5200</v>
      </c>
      <c r="P27" s="33">
        <v>4936</v>
      </c>
      <c r="Q27">
        <f t="shared" si="2"/>
        <v>0</v>
      </c>
    </row>
    <row r="28" spans="1:17" ht="15" x14ac:dyDescent="0.25">
      <c r="A28" s="4">
        <v>45855</v>
      </c>
      <c r="B28" s="1" t="str">
        <f t="shared" si="0"/>
        <v>17/07/25 Jueves</v>
      </c>
      <c r="C28" s="1" t="s">
        <v>10</v>
      </c>
      <c r="D28">
        <v>945</v>
      </c>
      <c r="E28" s="1">
        <v>190</v>
      </c>
      <c r="F28" s="2">
        <v>121</v>
      </c>
      <c r="G28" s="2">
        <v>69</v>
      </c>
      <c r="H28" s="2">
        <v>115</v>
      </c>
      <c r="I28" s="1">
        <v>6</v>
      </c>
      <c r="K28" s="29">
        <f t="shared" si="1"/>
        <v>45874</v>
      </c>
      <c r="L28" s="27">
        <v>45874</v>
      </c>
      <c r="M28" s="33">
        <v>5371</v>
      </c>
      <c r="N28" s="33">
        <v>5707</v>
      </c>
      <c r="O28" s="33">
        <v>4989</v>
      </c>
      <c r="P28" s="33">
        <v>4707</v>
      </c>
      <c r="Q28">
        <f t="shared" si="2"/>
        <v>0</v>
      </c>
    </row>
    <row r="29" spans="1:17" ht="15" x14ac:dyDescent="0.25">
      <c r="A29" s="4">
        <v>45855</v>
      </c>
      <c r="B29" s="1" t="str">
        <f t="shared" si="0"/>
        <v>17/07/25 Jueves</v>
      </c>
      <c r="C29" s="1" t="s">
        <v>11</v>
      </c>
      <c r="D29">
        <v>832</v>
      </c>
      <c r="E29" s="1">
        <v>1155</v>
      </c>
      <c r="F29" s="2">
        <v>1148</v>
      </c>
      <c r="G29" s="2">
        <v>7</v>
      </c>
      <c r="H29" s="2">
        <v>1128</v>
      </c>
      <c r="I29" s="1">
        <v>20</v>
      </c>
      <c r="K29" s="29">
        <f t="shared" si="1"/>
        <v>45875</v>
      </c>
      <c r="L29" s="27">
        <v>45875</v>
      </c>
      <c r="M29" s="33">
        <v>5190</v>
      </c>
      <c r="N29" s="33">
        <v>6326</v>
      </c>
      <c r="O29" s="33">
        <v>5212</v>
      </c>
      <c r="P29" s="33">
        <v>4845</v>
      </c>
      <c r="Q29" s="29">
        <f t="shared" si="2"/>
        <v>45875</v>
      </c>
    </row>
    <row r="30" spans="1:17" ht="15" x14ac:dyDescent="0.25">
      <c r="A30" s="4">
        <v>45855</v>
      </c>
      <c r="B30" s="1" t="str">
        <f t="shared" si="0"/>
        <v>17/07/25 Jueves</v>
      </c>
      <c r="C30" s="1" t="s">
        <v>12</v>
      </c>
      <c r="D30">
        <v>935</v>
      </c>
      <c r="E30" s="1">
        <v>1014</v>
      </c>
      <c r="F30" s="2">
        <v>743</v>
      </c>
      <c r="G30" s="2">
        <v>271</v>
      </c>
      <c r="H30" s="2">
        <v>687</v>
      </c>
      <c r="I30" s="1">
        <v>56</v>
      </c>
      <c r="K30" s="29">
        <f t="shared" si="1"/>
        <v>45876</v>
      </c>
      <c r="L30" s="27">
        <v>45876</v>
      </c>
      <c r="M30" s="33">
        <v>5377</v>
      </c>
      <c r="N30" s="33">
        <v>6228</v>
      </c>
      <c r="O30" s="33">
        <v>5387</v>
      </c>
      <c r="P30" s="33">
        <v>5081</v>
      </c>
      <c r="Q30" s="29">
        <f t="shared" si="2"/>
        <v>45876</v>
      </c>
    </row>
    <row r="31" spans="1:17" ht="15" x14ac:dyDescent="0.25">
      <c r="A31" s="4">
        <v>45855</v>
      </c>
      <c r="B31" s="1" t="str">
        <f t="shared" si="0"/>
        <v>17/07/25 Jueves</v>
      </c>
      <c r="C31" s="1" t="s">
        <v>13</v>
      </c>
      <c r="D31">
        <v>480</v>
      </c>
      <c r="E31" s="1">
        <v>465</v>
      </c>
      <c r="F31" s="2">
        <v>334</v>
      </c>
      <c r="G31" s="2">
        <v>131</v>
      </c>
      <c r="H31" s="2">
        <v>292</v>
      </c>
      <c r="I31" s="1">
        <v>42</v>
      </c>
      <c r="K31" s="29">
        <f t="shared" si="1"/>
        <v>45877</v>
      </c>
      <c r="L31" s="27">
        <v>45877</v>
      </c>
      <c r="M31" s="33">
        <v>5154</v>
      </c>
      <c r="N31" s="33">
        <v>6335</v>
      </c>
      <c r="O31" s="33">
        <v>5276</v>
      </c>
      <c r="P31" s="33">
        <v>5003</v>
      </c>
      <c r="Q31" s="29">
        <f t="shared" si="2"/>
        <v>45877</v>
      </c>
    </row>
    <row r="32" spans="1:17" ht="15" x14ac:dyDescent="0.25">
      <c r="A32" s="4">
        <v>45855</v>
      </c>
      <c r="B32" s="1" t="str">
        <f t="shared" si="0"/>
        <v>17/07/25 Jueves</v>
      </c>
      <c r="C32" s="1" t="s">
        <v>14</v>
      </c>
      <c r="D32">
        <v>286</v>
      </c>
      <c r="E32" s="1">
        <v>882</v>
      </c>
      <c r="F32" s="2">
        <v>693</v>
      </c>
      <c r="G32" s="2">
        <v>189</v>
      </c>
      <c r="H32" s="2">
        <v>662</v>
      </c>
      <c r="I32" s="1">
        <v>31</v>
      </c>
      <c r="K32" s="29">
        <f t="shared" si="1"/>
        <v>45878</v>
      </c>
      <c r="L32" s="27">
        <v>45878</v>
      </c>
      <c r="M32" s="33">
        <v>2936</v>
      </c>
      <c r="N32" s="33">
        <v>3450</v>
      </c>
      <c r="O32" s="33">
        <v>2924</v>
      </c>
      <c r="P32" s="33">
        <v>2652</v>
      </c>
      <c r="Q32">
        <f t="shared" si="2"/>
        <v>0</v>
      </c>
    </row>
    <row r="33" spans="1:17" ht="15" x14ac:dyDescent="0.25">
      <c r="A33" s="4">
        <v>45855</v>
      </c>
      <c r="B33" s="1" t="str">
        <f t="shared" si="0"/>
        <v>17/07/25 Jueves</v>
      </c>
      <c r="C33" s="1" t="s">
        <v>15</v>
      </c>
      <c r="D33">
        <v>737</v>
      </c>
      <c r="E33" s="1">
        <v>1436</v>
      </c>
      <c r="F33" s="2">
        <v>1033</v>
      </c>
      <c r="G33" s="2">
        <v>403</v>
      </c>
      <c r="H33" s="2">
        <v>963</v>
      </c>
      <c r="I33" s="1">
        <v>70</v>
      </c>
      <c r="K33" s="29">
        <f t="shared" si="1"/>
        <v>45879</v>
      </c>
      <c r="L33" s="27">
        <v>45879</v>
      </c>
      <c r="M33" s="33">
        <v>3948</v>
      </c>
      <c r="N33" s="33">
        <v>4098</v>
      </c>
      <c r="O33" s="33">
        <v>3559</v>
      </c>
      <c r="P33" s="33">
        <v>3240</v>
      </c>
      <c r="Q33">
        <f t="shared" si="2"/>
        <v>0</v>
      </c>
    </row>
    <row r="34" spans="1:17" ht="15" x14ac:dyDescent="0.25">
      <c r="A34" s="4">
        <v>45856</v>
      </c>
      <c r="B34" s="1" t="str">
        <f t="shared" si="0"/>
        <v>18/07/25 Viernes</v>
      </c>
      <c r="C34" s="1" t="s">
        <v>8</v>
      </c>
      <c r="D34">
        <v>694</v>
      </c>
      <c r="E34" s="1">
        <v>224</v>
      </c>
      <c r="F34" s="2">
        <v>136</v>
      </c>
      <c r="G34" s="2">
        <v>88</v>
      </c>
      <c r="H34" s="2">
        <v>119</v>
      </c>
      <c r="I34" s="1">
        <v>17</v>
      </c>
      <c r="K34" s="29">
        <f t="shared" si="1"/>
        <v>45880</v>
      </c>
      <c r="L34" s="27">
        <v>45880</v>
      </c>
      <c r="M34" s="33">
        <v>5494</v>
      </c>
      <c r="N34" s="33">
        <v>3683</v>
      </c>
      <c r="O34" s="33">
        <v>2961</v>
      </c>
      <c r="P34" s="33">
        <v>2716</v>
      </c>
      <c r="Q34">
        <f t="shared" si="2"/>
        <v>0</v>
      </c>
    </row>
    <row r="35" spans="1:17" ht="15" x14ac:dyDescent="0.25">
      <c r="A35" s="4">
        <v>45856</v>
      </c>
      <c r="B35" s="1" t="str">
        <f t="shared" si="0"/>
        <v>18/07/25 Viernes</v>
      </c>
      <c r="C35" s="1" t="s">
        <v>9</v>
      </c>
      <c r="D35">
        <v>48</v>
      </c>
      <c r="E35" s="1">
        <v>61</v>
      </c>
      <c r="F35" s="2">
        <v>61</v>
      </c>
      <c r="G35" s="2">
        <v>0</v>
      </c>
      <c r="H35" s="2">
        <v>61</v>
      </c>
      <c r="I35" s="1">
        <v>0</v>
      </c>
      <c r="K35" s="29">
        <f t="shared" si="1"/>
        <v>45881</v>
      </c>
      <c r="L35" s="27">
        <v>45881</v>
      </c>
      <c r="M35" s="33">
        <v>2416</v>
      </c>
      <c r="N35" s="33">
        <v>2727</v>
      </c>
      <c r="O35" s="33">
        <v>2115</v>
      </c>
      <c r="P35" s="33">
        <v>2088</v>
      </c>
      <c r="Q35">
        <f t="shared" si="2"/>
        <v>0</v>
      </c>
    </row>
    <row r="36" spans="1:17" ht="15" x14ac:dyDescent="0.25">
      <c r="A36" s="4">
        <v>45856</v>
      </c>
      <c r="B36" s="1" t="str">
        <f t="shared" si="0"/>
        <v>18/07/25 Viernes</v>
      </c>
      <c r="C36" s="1" t="s">
        <v>10</v>
      </c>
      <c r="D36">
        <v>697</v>
      </c>
      <c r="E36" s="1">
        <v>1141</v>
      </c>
      <c r="F36" s="2">
        <v>1114</v>
      </c>
      <c r="G36" s="2">
        <v>27</v>
      </c>
      <c r="H36" s="2">
        <v>1088</v>
      </c>
      <c r="I36" s="1">
        <v>26</v>
      </c>
      <c r="K36" s="29">
        <f t="shared" si="1"/>
        <v>45882</v>
      </c>
      <c r="L36" s="27">
        <v>45882</v>
      </c>
      <c r="M36" s="33">
        <v>5500</v>
      </c>
      <c r="N36" s="33">
        <v>6730</v>
      </c>
      <c r="O36" s="33">
        <v>5202</v>
      </c>
      <c r="P36" s="33">
        <v>4865</v>
      </c>
      <c r="Q36">
        <f t="shared" si="2"/>
        <v>0</v>
      </c>
    </row>
    <row r="37" spans="1:17" ht="15" x14ac:dyDescent="0.25">
      <c r="A37" s="4">
        <v>45856</v>
      </c>
      <c r="B37" s="1" t="str">
        <f t="shared" si="0"/>
        <v>18/07/25 Viernes</v>
      </c>
      <c r="C37" s="1" t="s">
        <v>11</v>
      </c>
      <c r="D37">
        <v>951</v>
      </c>
      <c r="E37" s="1">
        <v>648</v>
      </c>
      <c r="F37" s="2">
        <v>645</v>
      </c>
      <c r="G37" s="2">
        <v>3</v>
      </c>
      <c r="H37" s="2">
        <v>633</v>
      </c>
      <c r="I37" s="1">
        <v>12</v>
      </c>
      <c r="K37" s="29">
        <f t="shared" si="1"/>
        <v>45883</v>
      </c>
      <c r="L37" s="27">
        <v>45883</v>
      </c>
      <c r="M37" s="33">
        <v>5031</v>
      </c>
      <c r="N37" s="33">
        <v>6264</v>
      </c>
      <c r="O37" s="33">
        <v>5120</v>
      </c>
      <c r="P37" s="33">
        <v>4808</v>
      </c>
      <c r="Q37" s="29">
        <f t="shared" si="2"/>
        <v>45883</v>
      </c>
    </row>
    <row r="38" spans="1:17" ht="15" x14ac:dyDescent="0.25">
      <c r="A38" s="4">
        <v>45856</v>
      </c>
      <c r="B38" s="1" t="str">
        <f t="shared" si="0"/>
        <v>18/07/25 Viernes</v>
      </c>
      <c r="C38" s="1" t="s">
        <v>12</v>
      </c>
      <c r="D38">
        <v>452</v>
      </c>
      <c r="E38" s="1">
        <v>209</v>
      </c>
      <c r="F38" s="2">
        <v>201</v>
      </c>
      <c r="G38" s="2">
        <v>8</v>
      </c>
      <c r="H38" s="2">
        <v>175</v>
      </c>
      <c r="I38" s="1">
        <v>26</v>
      </c>
      <c r="K38" s="29">
        <f t="shared" si="1"/>
        <v>45884</v>
      </c>
      <c r="L38" s="27">
        <v>45884</v>
      </c>
      <c r="M38" s="33">
        <v>5530</v>
      </c>
      <c r="N38" s="33">
        <v>6427</v>
      </c>
      <c r="O38" s="33">
        <v>5890</v>
      </c>
      <c r="P38" s="33">
        <v>4491</v>
      </c>
      <c r="Q38" s="29">
        <f t="shared" si="2"/>
        <v>45884</v>
      </c>
    </row>
    <row r="39" spans="1:17" ht="15" x14ac:dyDescent="0.25">
      <c r="A39" s="4">
        <v>45856</v>
      </c>
      <c r="B39" s="1" t="str">
        <f t="shared" si="0"/>
        <v>18/07/25 Viernes</v>
      </c>
      <c r="C39" s="1" t="s">
        <v>13</v>
      </c>
      <c r="D39">
        <v>890</v>
      </c>
      <c r="E39" s="1">
        <v>851</v>
      </c>
      <c r="F39" s="2">
        <v>738</v>
      </c>
      <c r="G39" s="2">
        <v>113</v>
      </c>
      <c r="H39" s="2">
        <v>729</v>
      </c>
      <c r="I39" s="1">
        <v>9</v>
      </c>
      <c r="K39" s="29">
        <f t="shared" si="1"/>
        <v>45885</v>
      </c>
      <c r="L39" s="27">
        <v>45885</v>
      </c>
      <c r="M39" s="33">
        <v>2939</v>
      </c>
      <c r="N39" s="33">
        <v>3863</v>
      </c>
      <c r="O39" s="33">
        <v>2988</v>
      </c>
      <c r="P39" s="33">
        <v>2733</v>
      </c>
      <c r="Q39" s="29">
        <f t="shared" si="2"/>
        <v>45885</v>
      </c>
    </row>
    <row r="40" spans="1:17" ht="15" x14ac:dyDescent="0.25">
      <c r="A40" s="4">
        <v>45856</v>
      </c>
      <c r="B40" s="1" t="str">
        <f t="shared" si="0"/>
        <v>18/07/25 Viernes</v>
      </c>
      <c r="C40" s="1" t="s">
        <v>14</v>
      </c>
      <c r="D40">
        <v>1099</v>
      </c>
      <c r="E40" s="1">
        <v>337</v>
      </c>
      <c r="F40" s="2">
        <v>287</v>
      </c>
      <c r="G40" s="2">
        <v>50</v>
      </c>
      <c r="H40" s="2">
        <v>276</v>
      </c>
      <c r="I40" s="1">
        <v>11</v>
      </c>
      <c r="K40" s="29">
        <f t="shared" si="1"/>
        <v>45886</v>
      </c>
      <c r="L40" s="27">
        <v>45886</v>
      </c>
      <c r="M40" s="33">
        <v>3909</v>
      </c>
      <c r="N40" s="33">
        <v>3915</v>
      </c>
      <c r="O40" s="33">
        <v>3480</v>
      </c>
      <c r="P40" s="33">
        <v>3356</v>
      </c>
      <c r="Q40">
        <f t="shared" si="2"/>
        <v>0</v>
      </c>
    </row>
    <row r="41" spans="1:17" ht="15" x14ac:dyDescent="0.25">
      <c r="A41" s="4">
        <v>45856</v>
      </c>
      <c r="B41" s="1" t="str">
        <f t="shared" si="0"/>
        <v>18/07/25 Viernes</v>
      </c>
      <c r="C41" s="1" t="s">
        <v>15</v>
      </c>
      <c r="D41">
        <v>663</v>
      </c>
      <c r="E41" s="1">
        <v>80</v>
      </c>
      <c r="F41" s="2">
        <v>80</v>
      </c>
      <c r="G41" s="2">
        <v>0</v>
      </c>
      <c r="H41" s="2">
        <v>76</v>
      </c>
      <c r="I41" s="1">
        <v>4</v>
      </c>
      <c r="K41" s="29">
        <f t="shared" si="1"/>
        <v>45887</v>
      </c>
      <c r="L41" s="27">
        <v>45887</v>
      </c>
      <c r="M41" s="33">
        <v>5314</v>
      </c>
      <c r="N41" s="33">
        <v>7623</v>
      </c>
      <c r="O41" s="33">
        <v>5220</v>
      </c>
      <c r="P41" s="33">
        <v>4526</v>
      </c>
      <c r="Q41">
        <f t="shared" si="2"/>
        <v>0</v>
      </c>
    </row>
    <row r="42" spans="1:17" ht="15" x14ac:dyDescent="0.25">
      <c r="A42" s="4">
        <v>45857</v>
      </c>
      <c r="B42" s="1" t="str">
        <f t="shared" si="0"/>
        <v>19/07/25 Sábado</v>
      </c>
      <c r="C42" s="1" t="s">
        <v>8</v>
      </c>
      <c r="D42">
        <v>693</v>
      </c>
      <c r="E42" s="1">
        <v>865</v>
      </c>
      <c r="F42" s="2">
        <v>426</v>
      </c>
      <c r="G42" s="2">
        <v>439</v>
      </c>
      <c r="H42" s="2">
        <v>377</v>
      </c>
      <c r="I42" s="1">
        <v>49</v>
      </c>
      <c r="K42" s="29">
        <f t="shared" si="1"/>
        <v>45888</v>
      </c>
      <c r="L42" s="27">
        <v>45888</v>
      </c>
      <c r="M42" s="33">
        <v>5377</v>
      </c>
      <c r="N42" s="33">
        <v>6911</v>
      </c>
      <c r="O42" s="33">
        <v>4586</v>
      </c>
      <c r="P42" s="33">
        <v>4317</v>
      </c>
      <c r="Q42">
        <f t="shared" si="2"/>
        <v>0</v>
      </c>
    </row>
    <row r="43" spans="1:17" ht="15" x14ac:dyDescent="0.25">
      <c r="A43" s="4">
        <v>45857</v>
      </c>
      <c r="B43" s="1" t="str">
        <f t="shared" si="0"/>
        <v>19/07/25 Sábado</v>
      </c>
      <c r="C43" s="1" t="s">
        <v>10</v>
      </c>
      <c r="D43">
        <v>0</v>
      </c>
      <c r="E43" s="1">
        <v>247</v>
      </c>
      <c r="F43" s="2">
        <v>146</v>
      </c>
      <c r="G43" s="2">
        <v>101</v>
      </c>
      <c r="H43" s="2">
        <v>134</v>
      </c>
      <c r="I43" s="1">
        <v>12</v>
      </c>
      <c r="K43" s="29">
        <f t="shared" si="1"/>
        <v>45889</v>
      </c>
      <c r="L43" s="27">
        <v>45889</v>
      </c>
      <c r="M43" s="33">
        <v>5278</v>
      </c>
      <c r="N43" s="33">
        <v>6295</v>
      </c>
      <c r="O43" s="33">
        <v>5721</v>
      </c>
      <c r="P43" s="33">
        <v>5413</v>
      </c>
      <c r="Q43" s="29">
        <f t="shared" si="2"/>
        <v>45889</v>
      </c>
    </row>
    <row r="44" spans="1:17" ht="15" x14ac:dyDescent="0.25">
      <c r="A44" s="4">
        <v>45857</v>
      </c>
      <c r="B44" s="1" t="str">
        <f t="shared" si="0"/>
        <v>19/07/25 Sábado</v>
      </c>
      <c r="C44" s="1" t="s">
        <v>12</v>
      </c>
      <c r="D44">
        <v>935</v>
      </c>
      <c r="E44" s="1">
        <v>730</v>
      </c>
      <c r="F44" s="2">
        <v>615</v>
      </c>
      <c r="G44" s="2">
        <v>115</v>
      </c>
      <c r="H44" s="2">
        <v>551</v>
      </c>
      <c r="I44" s="1">
        <v>64</v>
      </c>
      <c r="K44" s="29">
        <f t="shared" si="1"/>
        <v>45890</v>
      </c>
      <c r="L44" s="27">
        <v>45890</v>
      </c>
      <c r="M44" s="33">
        <v>5407</v>
      </c>
      <c r="N44" s="33">
        <v>6568</v>
      </c>
      <c r="O44" s="33">
        <v>5854</v>
      </c>
      <c r="P44" s="33">
        <v>5403</v>
      </c>
      <c r="Q44" s="29">
        <f t="shared" si="2"/>
        <v>45890</v>
      </c>
    </row>
    <row r="45" spans="1:17" ht="15" x14ac:dyDescent="0.25">
      <c r="A45" s="4">
        <v>45857</v>
      </c>
      <c r="B45" s="1" t="str">
        <f t="shared" si="0"/>
        <v>19/07/25 Sábado</v>
      </c>
      <c r="C45" s="1" t="s">
        <v>13</v>
      </c>
      <c r="D45">
        <v>288</v>
      </c>
      <c r="E45" s="1">
        <v>465</v>
      </c>
      <c r="F45" s="2">
        <v>341</v>
      </c>
      <c r="G45" s="2">
        <v>124</v>
      </c>
      <c r="H45" s="2">
        <v>317</v>
      </c>
      <c r="I45" s="1">
        <v>24</v>
      </c>
      <c r="K45" s="29">
        <f t="shared" si="1"/>
        <v>45891</v>
      </c>
      <c r="L45" s="27">
        <v>45891</v>
      </c>
      <c r="M45" s="33">
        <v>5284</v>
      </c>
      <c r="N45" s="33">
        <v>6366</v>
      </c>
      <c r="O45" s="33">
        <v>5607</v>
      </c>
      <c r="P45" s="33">
        <v>5291</v>
      </c>
      <c r="Q45" s="29">
        <f t="shared" si="2"/>
        <v>45891</v>
      </c>
    </row>
    <row r="46" spans="1:17" ht="15" x14ac:dyDescent="0.25">
      <c r="A46" s="4">
        <v>45857</v>
      </c>
      <c r="B46" s="1" t="str">
        <f t="shared" si="0"/>
        <v>19/07/25 Sábado</v>
      </c>
      <c r="C46" s="1" t="s">
        <v>14</v>
      </c>
      <c r="D46">
        <v>286</v>
      </c>
      <c r="E46" s="1">
        <v>853</v>
      </c>
      <c r="F46" s="2">
        <v>450</v>
      </c>
      <c r="G46" s="2">
        <v>403</v>
      </c>
      <c r="H46" s="2">
        <v>403</v>
      </c>
      <c r="I46" s="1">
        <v>47</v>
      </c>
      <c r="K46" s="29">
        <f t="shared" si="1"/>
        <v>45892</v>
      </c>
      <c r="L46" s="27">
        <v>45892</v>
      </c>
      <c r="M46" s="33">
        <v>2936</v>
      </c>
      <c r="N46" s="33">
        <v>5633</v>
      </c>
      <c r="O46" s="33">
        <v>5063</v>
      </c>
      <c r="P46" s="33">
        <v>4713</v>
      </c>
      <c r="Q46" s="29">
        <f t="shared" si="2"/>
        <v>45892</v>
      </c>
    </row>
    <row r="47" spans="1:17" ht="15" x14ac:dyDescent="0.25">
      <c r="A47" s="4">
        <v>45857</v>
      </c>
      <c r="B47" s="1" t="str">
        <f t="shared" si="0"/>
        <v>19/07/25 Sábado</v>
      </c>
      <c r="C47" s="1" t="s">
        <v>15</v>
      </c>
      <c r="D47">
        <v>737</v>
      </c>
      <c r="E47" s="1">
        <v>428</v>
      </c>
      <c r="F47" s="2">
        <v>302</v>
      </c>
      <c r="G47" s="2">
        <v>126</v>
      </c>
      <c r="H47" s="2">
        <v>272</v>
      </c>
      <c r="I47" s="1">
        <v>30</v>
      </c>
      <c r="K47" s="29">
        <f t="shared" si="1"/>
        <v>45893</v>
      </c>
      <c r="L47" s="27">
        <v>45893</v>
      </c>
      <c r="M47" s="33">
        <v>2283</v>
      </c>
      <c r="N47" s="33">
        <v>1402</v>
      </c>
      <c r="O47" s="33">
        <v>1160</v>
      </c>
      <c r="P47" s="33">
        <v>1075</v>
      </c>
      <c r="Q47">
        <f t="shared" si="2"/>
        <v>0</v>
      </c>
    </row>
    <row r="48" spans="1:17" ht="15" x14ac:dyDescent="0.25">
      <c r="A48" s="4">
        <v>45858</v>
      </c>
      <c r="B48" s="1" t="str">
        <f t="shared" si="0"/>
        <v>20/07/25 Domingo</v>
      </c>
      <c r="C48" s="1" t="s">
        <v>8</v>
      </c>
      <c r="D48">
        <v>138</v>
      </c>
      <c r="E48" s="1">
        <v>697</v>
      </c>
      <c r="F48" s="2">
        <v>512</v>
      </c>
      <c r="G48" s="2">
        <v>185</v>
      </c>
      <c r="H48" s="2">
        <v>478</v>
      </c>
      <c r="I48" s="1">
        <v>34</v>
      </c>
      <c r="K48" s="29">
        <f t="shared" si="1"/>
        <v>45894</v>
      </c>
      <c r="L48" s="27">
        <v>45894</v>
      </c>
      <c r="M48" s="33">
        <v>5500</v>
      </c>
      <c r="N48" s="33">
        <v>4472</v>
      </c>
      <c r="O48" s="33">
        <v>3898</v>
      </c>
      <c r="P48" s="33">
        <v>3750</v>
      </c>
      <c r="Q48">
        <f t="shared" si="2"/>
        <v>0</v>
      </c>
    </row>
    <row r="49" spans="1:17" ht="15" x14ac:dyDescent="0.25">
      <c r="A49" s="4">
        <v>45858</v>
      </c>
      <c r="B49" s="1" t="str">
        <f t="shared" si="0"/>
        <v>20/07/25 Domingo</v>
      </c>
      <c r="C49" s="1" t="s">
        <v>9</v>
      </c>
      <c r="D49">
        <v>301</v>
      </c>
      <c r="E49" s="1">
        <v>255</v>
      </c>
      <c r="F49" s="2">
        <v>243</v>
      </c>
      <c r="G49" s="2">
        <v>12</v>
      </c>
      <c r="H49" s="2">
        <v>243</v>
      </c>
      <c r="I49" s="1">
        <v>0</v>
      </c>
      <c r="K49" s="29">
        <f t="shared" si="1"/>
        <v>45895</v>
      </c>
      <c r="L49" s="27">
        <v>45895</v>
      </c>
      <c r="M49" s="33">
        <v>5155</v>
      </c>
      <c r="N49" s="33">
        <v>6503</v>
      </c>
      <c r="O49" s="33">
        <v>5426</v>
      </c>
      <c r="P49" s="33">
        <v>5124</v>
      </c>
      <c r="Q49" s="29">
        <f t="shared" si="2"/>
        <v>45895</v>
      </c>
    </row>
    <row r="50" spans="1:17" ht="15" x14ac:dyDescent="0.25">
      <c r="A50" s="4">
        <v>45858</v>
      </c>
      <c r="B50" s="1" t="str">
        <f t="shared" si="0"/>
        <v>20/07/25 Domingo</v>
      </c>
      <c r="C50" s="1" t="s">
        <v>10</v>
      </c>
      <c r="D50">
        <v>945</v>
      </c>
      <c r="E50" s="1">
        <v>909</v>
      </c>
      <c r="F50" s="2">
        <v>720</v>
      </c>
      <c r="G50" s="2">
        <v>189</v>
      </c>
      <c r="H50" s="2">
        <v>704</v>
      </c>
      <c r="I50" s="1">
        <v>16</v>
      </c>
      <c r="K50" s="29">
        <f t="shared" si="1"/>
        <v>45896</v>
      </c>
      <c r="L50" s="27">
        <v>45896</v>
      </c>
      <c r="M50" s="33">
        <v>5530</v>
      </c>
      <c r="N50" s="33">
        <v>6416</v>
      </c>
      <c r="O50" s="33">
        <v>5211</v>
      </c>
      <c r="P50" s="33">
        <v>4818</v>
      </c>
      <c r="Q50">
        <f t="shared" si="2"/>
        <v>0</v>
      </c>
    </row>
    <row r="51" spans="1:17" ht="15" x14ac:dyDescent="0.25">
      <c r="A51" s="4">
        <v>45858</v>
      </c>
      <c r="B51" s="1" t="str">
        <f t="shared" si="0"/>
        <v>20/07/25 Domingo</v>
      </c>
      <c r="C51" s="1" t="s">
        <v>11</v>
      </c>
      <c r="D51">
        <v>1783</v>
      </c>
      <c r="E51" s="1">
        <v>1155</v>
      </c>
      <c r="F51" s="2">
        <v>971</v>
      </c>
      <c r="G51" s="2">
        <v>184</v>
      </c>
      <c r="H51" s="2">
        <v>954</v>
      </c>
      <c r="I51" s="1">
        <v>17</v>
      </c>
      <c r="K51" s="29">
        <f t="shared" si="1"/>
        <v>45897</v>
      </c>
      <c r="L51" s="27">
        <v>45897</v>
      </c>
      <c r="M51" s="33">
        <v>5161</v>
      </c>
      <c r="N51" s="33">
        <v>6790</v>
      </c>
      <c r="O51" s="33">
        <v>5765</v>
      </c>
      <c r="P51" s="33">
        <v>5474</v>
      </c>
      <c r="Q51" s="29">
        <f t="shared" si="2"/>
        <v>45897</v>
      </c>
    </row>
    <row r="52" spans="1:17" ht="15" x14ac:dyDescent="0.25">
      <c r="A52" s="4">
        <v>45858</v>
      </c>
      <c r="B52" s="1" t="str">
        <f t="shared" si="0"/>
        <v>20/07/25 Domingo</v>
      </c>
      <c r="C52" s="1" t="s">
        <v>12</v>
      </c>
      <c r="D52">
        <v>452</v>
      </c>
      <c r="E52" s="1">
        <v>306</v>
      </c>
      <c r="F52" s="2">
        <v>135</v>
      </c>
      <c r="G52" s="2">
        <v>171</v>
      </c>
      <c r="H52" s="2">
        <v>132</v>
      </c>
      <c r="I52" s="1">
        <v>3</v>
      </c>
      <c r="K52" s="29">
        <f t="shared" si="1"/>
        <v>45898</v>
      </c>
      <c r="L52" s="27">
        <v>45898</v>
      </c>
      <c r="M52" s="33">
        <v>5494</v>
      </c>
      <c r="N52" s="33">
        <v>6806</v>
      </c>
      <c r="O52" s="33">
        <v>5740</v>
      </c>
      <c r="P52" s="33">
        <v>5394</v>
      </c>
      <c r="Q52" s="29">
        <f t="shared" si="2"/>
        <v>45898</v>
      </c>
    </row>
    <row r="53" spans="1:17" ht="15" x14ac:dyDescent="0.25">
      <c r="A53" s="4">
        <v>45858</v>
      </c>
      <c r="B53" s="1" t="str">
        <f t="shared" si="0"/>
        <v>20/07/25 Domingo</v>
      </c>
      <c r="C53" s="1" t="s">
        <v>13</v>
      </c>
      <c r="D53">
        <v>450</v>
      </c>
      <c r="E53" s="1">
        <v>582</v>
      </c>
      <c r="F53" s="2">
        <v>291</v>
      </c>
      <c r="G53" s="2">
        <v>291</v>
      </c>
      <c r="H53" s="2">
        <v>275</v>
      </c>
      <c r="I53" s="1">
        <v>16</v>
      </c>
      <c r="K53" s="29">
        <f t="shared" si="1"/>
        <v>45899</v>
      </c>
      <c r="L53" s="27">
        <v>45899</v>
      </c>
      <c r="M53" s="33">
        <v>2939</v>
      </c>
      <c r="N53" s="33">
        <v>3734</v>
      </c>
      <c r="O53" s="33">
        <v>3036</v>
      </c>
      <c r="P53" s="33">
        <v>2798</v>
      </c>
      <c r="Q53" s="29">
        <f t="shared" si="2"/>
        <v>45899</v>
      </c>
    </row>
    <row r="54" spans="1:17" ht="15" x14ac:dyDescent="0.25">
      <c r="A54" s="4">
        <v>45858</v>
      </c>
      <c r="B54" s="1" t="str">
        <f t="shared" si="0"/>
        <v>20/07/25 Domingo</v>
      </c>
      <c r="C54" s="1" t="s">
        <v>14</v>
      </c>
      <c r="D54">
        <v>0</v>
      </c>
      <c r="E54" s="1">
        <v>610</v>
      </c>
      <c r="F54" s="2">
        <v>444</v>
      </c>
      <c r="G54" s="2">
        <v>166</v>
      </c>
      <c r="H54" s="2">
        <v>384</v>
      </c>
      <c r="I54" s="1">
        <v>60</v>
      </c>
      <c r="K54" s="29">
        <f t="shared" si="1"/>
        <v>45900</v>
      </c>
      <c r="L54" s="27">
        <v>45900</v>
      </c>
      <c r="M54" s="33">
        <v>4069</v>
      </c>
      <c r="N54" s="33">
        <v>4265</v>
      </c>
      <c r="O54" s="33">
        <v>3989</v>
      </c>
      <c r="P54" s="33">
        <v>3848</v>
      </c>
      <c r="Q54">
        <f t="shared" si="2"/>
        <v>0</v>
      </c>
    </row>
    <row r="55" spans="1:17" ht="15" x14ac:dyDescent="0.25">
      <c r="A55" s="4">
        <v>45858</v>
      </c>
      <c r="B55" s="1" t="str">
        <f t="shared" si="0"/>
        <v>20/07/25 Domingo</v>
      </c>
      <c r="C55" s="1" t="s">
        <v>15</v>
      </c>
      <c r="D55">
        <v>0</v>
      </c>
      <c r="E55" s="1">
        <v>189</v>
      </c>
      <c r="F55" s="2">
        <v>94</v>
      </c>
      <c r="G55" s="2">
        <v>95</v>
      </c>
      <c r="H55" s="2">
        <v>88</v>
      </c>
      <c r="I55" s="1">
        <v>6</v>
      </c>
      <c r="K55" s="29">
        <f t="shared" si="1"/>
        <v>45901</v>
      </c>
      <c r="L55" s="27">
        <v>45901</v>
      </c>
      <c r="M55" s="33">
        <v>5278</v>
      </c>
      <c r="N55" s="33">
        <v>5773</v>
      </c>
      <c r="O55" s="33">
        <v>4784</v>
      </c>
      <c r="P55" s="33">
        <v>4425</v>
      </c>
      <c r="Q55">
        <f t="shared" si="2"/>
        <v>0</v>
      </c>
    </row>
    <row r="56" spans="1:17" ht="15" x14ac:dyDescent="0.25">
      <c r="A56" s="4">
        <v>45859</v>
      </c>
      <c r="B56" s="1" t="str">
        <f t="shared" si="0"/>
        <v>21/07/25 Lunes</v>
      </c>
      <c r="C56" s="1" t="s">
        <v>8</v>
      </c>
      <c r="D56">
        <v>697</v>
      </c>
      <c r="E56" s="1">
        <v>1071</v>
      </c>
      <c r="F56" s="2">
        <v>542</v>
      </c>
      <c r="G56" s="2">
        <v>529</v>
      </c>
      <c r="H56" s="2">
        <v>487</v>
      </c>
      <c r="I56" s="1">
        <v>55</v>
      </c>
      <c r="K56" s="29">
        <f t="shared" si="1"/>
        <v>45902</v>
      </c>
      <c r="L56" s="27">
        <v>45902</v>
      </c>
      <c r="M56" s="33">
        <v>5407</v>
      </c>
      <c r="N56" s="33">
        <v>6442</v>
      </c>
      <c r="O56" s="33">
        <v>5431</v>
      </c>
      <c r="P56" s="33">
        <v>5148</v>
      </c>
      <c r="Q56" s="29">
        <f t="shared" si="2"/>
        <v>45902</v>
      </c>
    </row>
    <row r="57" spans="1:17" ht="15" x14ac:dyDescent="0.25">
      <c r="A57" s="4">
        <v>45859</v>
      </c>
      <c r="B57" s="1" t="str">
        <f t="shared" si="0"/>
        <v>21/07/25 Lunes</v>
      </c>
      <c r="C57" s="1" t="s">
        <v>9</v>
      </c>
      <c r="D57">
        <v>48</v>
      </c>
      <c r="E57" s="1">
        <v>60</v>
      </c>
      <c r="F57" s="2">
        <v>48</v>
      </c>
      <c r="G57" s="2">
        <v>12</v>
      </c>
      <c r="H57" s="2">
        <v>48</v>
      </c>
      <c r="I57" s="1">
        <v>0</v>
      </c>
      <c r="K57" s="29">
        <f t="shared" si="1"/>
        <v>45903</v>
      </c>
      <c r="L57" s="27">
        <v>45903</v>
      </c>
      <c r="M57" s="33">
        <v>5284</v>
      </c>
      <c r="N57" s="33">
        <v>6748</v>
      </c>
      <c r="O57" s="33">
        <v>6089</v>
      </c>
      <c r="P57" s="33">
        <v>5566</v>
      </c>
      <c r="Q57" s="29">
        <f t="shared" si="2"/>
        <v>45903</v>
      </c>
    </row>
    <row r="58" spans="1:17" ht="15" x14ac:dyDescent="0.25">
      <c r="A58" s="4">
        <v>45859</v>
      </c>
      <c r="B58" s="1" t="str">
        <f t="shared" si="0"/>
        <v>21/07/25 Lunes</v>
      </c>
      <c r="C58" s="1" t="s">
        <v>10</v>
      </c>
      <c r="D58">
        <v>697</v>
      </c>
      <c r="E58" s="1">
        <v>878</v>
      </c>
      <c r="F58" s="2">
        <v>752</v>
      </c>
      <c r="G58" s="2">
        <v>126</v>
      </c>
      <c r="H58" s="2">
        <v>737</v>
      </c>
      <c r="I58" s="1">
        <v>15</v>
      </c>
      <c r="K58" s="29">
        <f t="shared" si="1"/>
        <v>45904</v>
      </c>
      <c r="L58" s="27">
        <v>45904</v>
      </c>
      <c r="M58" s="33">
        <v>5371</v>
      </c>
      <c r="N58" s="33">
        <v>6222</v>
      </c>
      <c r="O58" s="33">
        <v>5646</v>
      </c>
      <c r="P58" s="33">
        <v>5329</v>
      </c>
      <c r="Q58" s="29">
        <f t="shared" si="2"/>
        <v>45904</v>
      </c>
    </row>
    <row r="59" spans="1:17" ht="15" x14ac:dyDescent="0.25">
      <c r="A59" s="4">
        <v>45859</v>
      </c>
      <c r="B59" s="1" t="str">
        <f t="shared" si="0"/>
        <v>21/07/25 Lunes</v>
      </c>
      <c r="C59" s="1" t="s">
        <v>11</v>
      </c>
      <c r="D59">
        <v>832</v>
      </c>
      <c r="E59" s="1">
        <v>938</v>
      </c>
      <c r="F59" s="2">
        <v>824</v>
      </c>
      <c r="G59" s="2">
        <v>114</v>
      </c>
      <c r="H59" s="2">
        <v>812</v>
      </c>
      <c r="I59" s="1">
        <v>12</v>
      </c>
      <c r="K59" s="29">
        <f t="shared" si="1"/>
        <v>45905</v>
      </c>
      <c r="L59" s="27">
        <v>45905</v>
      </c>
      <c r="M59" s="33">
        <v>5314</v>
      </c>
      <c r="N59" s="33">
        <v>6602</v>
      </c>
      <c r="O59" s="33">
        <v>5790</v>
      </c>
      <c r="P59" s="33">
        <v>5419</v>
      </c>
      <c r="Q59" s="29">
        <f t="shared" si="2"/>
        <v>45905</v>
      </c>
    </row>
    <row r="60" spans="1:17" ht="15" x14ac:dyDescent="0.25">
      <c r="A60" s="4">
        <v>45859</v>
      </c>
      <c r="B60" s="1" t="str">
        <f t="shared" si="0"/>
        <v>21/07/25 Lunes</v>
      </c>
      <c r="C60" s="1" t="s">
        <v>12</v>
      </c>
      <c r="D60">
        <v>352</v>
      </c>
      <c r="E60" s="1">
        <v>1278</v>
      </c>
      <c r="F60" s="2">
        <v>613</v>
      </c>
      <c r="G60" s="2">
        <v>665</v>
      </c>
      <c r="H60" s="2">
        <v>554</v>
      </c>
      <c r="I60" s="1">
        <v>59</v>
      </c>
      <c r="K60" s="29">
        <f t="shared" si="1"/>
        <v>45906</v>
      </c>
      <c r="L60" s="27">
        <v>45906</v>
      </c>
      <c r="M60" s="33">
        <v>2936</v>
      </c>
      <c r="N60" s="33">
        <v>3607</v>
      </c>
      <c r="O60" s="33">
        <v>3006</v>
      </c>
      <c r="P60" s="33">
        <v>2772</v>
      </c>
      <c r="Q60" s="29">
        <f t="shared" si="2"/>
        <v>45906</v>
      </c>
    </row>
    <row r="61" spans="1:17" ht="15" x14ac:dyDescent="0.25">
      <c r="A61" s="4">
        <v>45859</v>
      </c>
      <c r="B61" s="1" t="str">
        <f t="shared" si="0"/>
        <v>21/07/25 Lunes</v>
      </c>
      <c r="C61" s="1" t="s">
        <v>13</v>
      </c>
      <c r="D61">
        <v>890</v>
      </c>
      <c r="E61" s="1">
        <v>1302</v>
      </c>
      <c r="F61" s="2">
        <v>1010</v>
      </c>
      <c r="G61" s="2">
        <v>292</v>
      </c>
      <c r="H61" s="2">
        <v>987</v>
      </c>
      <c r="I61" s="1">
        <v>23</v>
      </c>
      <c r="K61" s="29">
        <f t="shared" si="1"/>
        <v>45907</v>
      </c>
      <c r="L61" s="27">
        <v>45907</v>
      </c>
      <c r="M61" s="33">
        <v>4036</v>
      </c>
      <c r="N61" s="33">
        <v>4268</v>
      </c>
      <c r="O61" s="33">
        <v>3935</v>
      </c>
      <c r="P61" s="33">
        <v>3800</v>
      </c>
      <c r="Q61">
        <f t="shared" si="2"/>
        <v>0</v>
      </c>
    </row>
    <row r="62" spans="1:17" ht="15" x14ac:dyDescent="0.25">
      <c r="A62" s="4">
        <v>45859</v>
      </c>
      <c r="B62" s="1" t="str">
        <f t="shared" si="0"/>
        <v>21/07/25 Lunes</v>
      </c>
      <c r="C62" s="1" t="s">
        <v>14</v>
      </c>
      <c r="D62">
        <v>1099</v>
      </c>
      <c r="E62" s="1">
        <v>808</v>
      </c>
      <c r="F62" s="2">
        <v>457</v>
      </c>
      <c r="G62" s="2">
        <v>351</v>
      </c>
      <c r="H62" s="2">
        <v>403</v>
      </c>
      <c r="I62" s="1">
        <v>54</v>
      </c>
      <c r="K62" s="29">
        <f t="shared" si="1"/>
        <v>45908</v>
      </c>
      <c r="L62" s="27">
        <v>45908</v>
      </c>
      <c r="M62" s="33">
        <v>5530</v>
      </c>
      <c r="N62" s="33">
        <v>6469</v>
      </c>
      <c r="O62" s="33">
        <v>4799</v>
      </c>
      <c r="P62" s="33">
        <v>4496</v>
      </c>
      <c r="Q62">
        <f t="shared" si="2"/>
        <v>0</v>
      </c>
    </row>
    <row r="63" spans="1:17" ht="15" x14ac:dyDescent="0.25">
      <c r="A63" s="4">
        <v>45859</v>
      </c>
      <c r="B63" s="1" t="str">
        <f t="shared" si="0"/>
        <v>21/07/25 Lunes</v>
      </c>
      <c r="C63" s="1" t="s">
        <v>15</v>
      </c>
      <c r="D63">
        <v>663</v>
      </c>
      <c r="E63" s="1">
        <v>794</v>
      </c>
      <c r="F63" s="2">
        <v>477</v>
      </c>
      <c r="G63" s="2">
        <v>317</v>
      </c>
      <c r="H63" s="2">
        <v>449</v>
      </c>
      <c r="I63" s="1">
        <v>28</v>
      </c>
      <c r="K63" s="29">
        <f t="shared" si="1"/>
        <v>45909</v>
      </c>
      <c r="L63" s="27">
        <v>45909</v>
      </c>
      <c r="M63" s="33">
        <v>5161</v>
      </c>
      <c r="N63" s="33">
        <v>5713</v>
      </c>
      <c r="O63" s="33">
        <v>4673</v>
      </c>
      <c r="P63" s="33">
        <v>4430</v>
      </c>
      <c r="Q63">
        <f t="shared" si="2"/>
        <v>0</v>
      </c>
    </row>
    <row r="64" spans="1:17" ht="15" x14ac:dyDescent="0.25">
      <c r="A64" s="4">
        <v>45860</v>
      </c>
      <c r="B64" s="1" t="str">
        <f t="shared" si="0"/>
        <v>22/07/25 Martes</v>
      </c>
      <c r="C64" s="1" t="s">
        <v>8</v>
      </c>
      <c r="D64">
        <v>690</v>
      </c>
      <c r="E64" s="1">
        <v>921</v>
      </c>
      <c r="F64" s="2">
        <v>459</v>
      </c>
      <c r="G64" s="2">
        <v>462</v>
      </c>
      <c r="H64" s="2">
        <v>422</v>
      </c>
      <c r="I64" s="1">
        <v>37</v>
      </c>
      <c r="K64" s="29">
        <f t="shared" si="1"/>
        <v>45910</v>
      </c>
      <c r="L64" s="27">
        <v>45910</v>
      </c>
      <c r="M64" s="33">
        <v>5360</v>
      </c>
      <c r="N64" s="33">
        <v>6139</v>
      </c>
      <c r="O64" s="33">
        <v>5099</v>
      </c>
      <c r="P64" s="33">
        <v>4740</v>
      </c>
      <c r="Q64">
        <f t="shared" si="2"/>
        <v>0</v>
      </c>
    </row>
    <row r="65" spans="1:17" ht="15" x14ac:dyDescent="0.25">
      <c r="A65" s="4">
        <v>45860</v>
      </c>
      <c r="B65" s="1" t="str">
        <f t="shared" si="0"/>
        <v>22/07/25 Martes</v>
      </c>
      <c r="C65" s="1" t="s">
        <v>9</v>
      </c>
      <c r="D65">
        <v>253</v>
      </c>
      <c r="E65" s="1">
        <v>291</v>
      </c>
      <c r="F65" s="2">
        <v>241</v>
      </c>
      <c r="G65" s="2">
        <v>50</v>
      </c>
      <c r="H65" s="2">
        <v>239</v>
      </c>
      <c r="I65" s="1">
        <v>2</v>
      </c>
      <c r="K65" s="29">
        <f t="shared" si="1"/>
        <v>45911</v>
      </c>
      <c r="L65" s="27">
        <v>45911</v>
      </c>
      <c r="M65" s="33">
        <v>5295</v>
      </c>
      <c r="N65" s="33">
        <v>6064</v>
      </c>
      <c r="O65" s="33">
        <v>5035</v>
      </c>
      <c r="P65" s="33">
        <v>4718</v>
      </c>
      <c r="Q65">
        <f t="shared" si="2"/>
        <v>0</v>
      </c>
    </row>
    <row r="66" spans="1:17" ht="15" x14ac:dyDescent="0.25">
      <c r="A66" s="4">
        <v>45860</v>
      </c>
      <c r="B66" s="1" t="str">
        <f t="shared" si="0"/>
        <v>22/07/25 Martes</v>
      </c>
      <c r="C66" s="1" t="s">
        <v>10</v>
      </c>
      <c r="D66">
        <v>945</v>
      </c>
      <c r="E66" s="1">
        <v>1125</v>
      </c>
      <c r="F66" s="2">
        <v>1032</v>
      </c>
      <c r="G66" s="2">
        <v>93</v>
      </c>
      <c r="H66" s="2">
        <v>948</v>
      </c>
      <c r="I66" s="1">
        <v>84</v>
      </c>
      <c r="K66" s="29">
        <f t="shared" si="1"/>
        <v>45912</v>
      </c>
      <c r="L66" s="27">
        <v>45912</v>
      </c>
      <c r="M66" s="33">
        <v>5366</v>
      </c>
      <c r="N66" s="33">
        <v>6325</v>
      </c>
      <c r="O66" s="33">
        <v>5348</v>
      </c>
      <c r="P66" s="33">
        <v>5059</v>
      </c>
      <c r="Q66">
        <f t="shared" si="2"/>
        <v>0</v>
      </c>
    </row>
    <row r="67" spans="1:17" ht="15" x14ac:dyDescent="0.25">
      <c r="A67" s="4">
        <v>45860</v>
      </c>
      <c r="B67" s="1" t="str">
        <f t="shared" ref="B67:B130" si="3">PROPER(TEXT(A67,"[$-es-ES]dd/mm/yy dddd"))</f>
        <v>22/07/25 Martes</v>
      </c>
      <c r="C67" s="1" t="s">
        <v>11</v>
      </c>
      <c r="D67">
        <v>951</v>
      </c>
      <c r="E67" s="1">
        <v>1426</v>
      </c>
      <c r="F67" s="2">
        <v>1402</v>
      </c>
      <c r="G67" s="2">
        <v>24</v>
      </c>
      <c r="H67" s="2">
        <v>1386</v>
      </c>
      <c r="I67" s="1">
        <v>16</v>
      </c>
      <c r="K67" s="29">
        <f t="shared" si="1"/>
        <v>45913</v>
      </c>
      <c r="L67" s="27">
        <v>45913</v>
      </c>
      <c r="M67" s="33">
        <v>2985</v>
      </c>
      <c r="N67" s="33">
        <v>3782</v>
      </c>
      <c r="O67" s="33">
        <v>2859</v>
      </c>
      <c r="P67" s="33">
        <v>2536</v>
      </c>
      <c r="Q67">
        <f t="shared" si="2"/>
        <v>0</v>
      </c>
    </row>
    <row r="68" spans="1:17" ht="15" x14ac:dyDescent="0.25">
      <c r="A68" s="4">
        <v>45860</v>
      </c>
      <c r="B68" s="1" t="str">
        <f t="shared" si="3"/>
        <v>22/07/25 Martes</v>
      </c>
      <c r="C68" s="1" t="s">
        <v>12</v>
      </c>
      <c r="D68">
        <v>1035</v>
      </c>
      <c r="E68" s="1">
        <v>1405</v>
      </c>
      <c r="F68" s="2">
        <v>854</v>
      </c>
      <c r="G68" s="2">
        <v>551</v>
      </c>
      <c r="H68" s="2">
        <v>771</v>
      </c>
      <c r="I68" s="1">
        <v>83</v>
      </c>
      <c r="K68" s="29">
        <f t="shared" si="1"/>
        <v>45914</v>
      </c>
      <c r="L68" s="27">
        <v>45914</v>
      </c>
      <c r="M68" s="33">
        <v>3959</v>
      </c>
      <c r="N68" s="33">
        <v>4253</v>
      </c>
      <c r="O68" s="33">
        <v>3495</v>
      </c>
      <c r="P68" s="33">
        <v>3244</v>
      </c>
      <c r="Q68">
        <f t="shared" si="2"/>
        <v>0</v>
      </c>
    </row>
    <row r="69" spans="1:17" ht="15" x14ac:dyDescent="0.25">
      <c r="A69" s="4">
        <v>45860</v>
      </c>
      <c r="B69" s="1" t="str">
        <f t="shared" si="3"/>
        <v>22/07/25 Martes</v>
      </c>
      <c r="C69" s="1" t="s">
        <v>13</v>
      </c>
      <c r="D69">
        <v>510</v>
      </c>
      <c r="E69" s="1">
        <v>659</v>
      </c>
      <c r="F69" s="2">
        <v>390</v>
      </c>
      <c r="G69" s="2">
        <v>269</v>
      </c>
      <c r="H69" s="2">
        <v>368</v>
      </c>
      <c r="I69" s="1">
        <v>22</v>
      </c>
      <c r="K69" s="29">
        <f t="shared" si="1"/>
        <v>45915</v>
      </c>
      <c r="L69" s="27">
        <v>45915</v>
      </c>
      <c r="M69" s="33">
        <v>5437</v>
      </c>
      <c r="N69" s="33">
        <v>6363</v>
      </c>
      <c r="O69" s="33">
        <v>4858</v>
      </c>
      <c r="P69" s="33">
        <v>4605</v>
      </c>
      <c r="Q69">
        <f t="shared" si="2"/>
        <v>0</v>
      </c>
    </row>
    <row r="70" spans="1:17" ht="15" x14ac:dyDescent="0.25">
      <c r="A70" s="4">
        <v>45860</v>
      </c>
      <c r="B70" s="1" t="str">
        <f t="shared" si="3"/>
        <v>22/07/25 Martes</v>
      </c>
      <c r="C70" s="1" t="s">
        <v>14</v>
      </c>
      <c r="D70">
        <v>286</v>
      </c>
      <c r="E70" s="1">
        <v>1217</v>
      </c>
      <c r="F70" s="2">
        <v>707</v>
      </c>
      <c r="G70" s="2">
        <v>510</v>
      </c>
      <c r="H70" s="2">
        <v>651</v>
      </c>
      <c r="I70" s="1">
        <v>56</v>
      </c>
      <c r="K70" s="29">
        <f t="shared" si="1"/>
        <v>45916</v>
      </c>
      <c r="L70" s="27">
        <v>45916</v>
      </c>
      <c r="M70" s="33">
        <v>5186</v>
      </c>
      <c r="N70" s="33">
        <v>6192</v>
      </c>
      <c r="O70" s="33">
        <v>5044</v>
      </c>
      <c r="P70" s="33">
        <v>4733</v>
      </c>
      <c r="Q70">
        <f t="shared" si="2"/>
        <v>0</v>
      </c>
    </row>
    <row r="71" spans="1:17" ht="15" x14ac:dyDescent="0.25">
      <c r="A71" s="4">
        <v>45860</v>
      </c>
      <c r="B71" s="1" t="str">
        <f t="shared" si="3"/>
        <v>22/07/25 Martes</v>
      </c>
      <c r="C71" s="1" t="s">
        <v>15</v>
      </c>
      <c r="D71">
        <v>737</v>
      </c>
      <c r="E71" s="1">
        <v>905</v>
      </c>
      <c r="F71" s="2">
        <v>596</v>
      </c>
      <c r="G71" s="2">
        <v>309</v>
      </c>
      <c r="H71" s="2">
        <v>555</v>
      </c>
      <c r="I71" s="1">
        <v>41</v>
      </c>
      <c r="K71" s="29">
        <f t="shared" ref="K71:K119" si="4">L71</f>
        <v>45917</v>
      </c>
      <c r="L71" s="27">
        <v>45917</v>
      </c>
      <c r="M71" s="33">
        <v>5469</v>
      </c>
      <c r="N71" s="33">
        <v>6685</v>
      </c>
      <c r="O71" s="33">
        <v>5392</v>
      </c>
      <c r="P71" s="33">
        <v>5091</v>
      </c>
      <c r="Q71">
        <f t="shared" ref="Q71:Q119" si="5">IF(GETPIVOTDATA("Suma de VISITADOS",$L$5,"FECHA",K71)&gt;GETPIVOTDATA("Suma de PLANIFICADOS",$L$5,"FECHA",K71),K71,0)</f>
        <v>0</v>
      </c>
    </row>
    <row r="72" spans="1:17" ht="15" x14ac:dyDescent="0.25">
      <c r="A72" s="4">
        <v>45861</v>
      </c>
      <c r="B72" s="1" t="str">
        <f t="shared" si="3"/>
        <v>23/07/25 Miércoles</v>
      </c>
      <c r="C72" s="1" t="s">
        <v>8</v>
      </c>
      <c r="D72">
        <v>697</v>
      </c>
      <c r="E72" s="1">
        <v>1622</v>
      </c>
      <c r="F72" s="2">
        <v>1012</v>
      </c>
      <c r="G72" s="2">
        <v>610</v>
      </c>
      <c r="H72" s="2">
        <v>943</v>
      </c>
      <c r="I72" s="1">
        <v>69</v>
      </c>
      <c r="K72" s="29">
        <f t="shared" si="4"/>
        <v>45918</v>
      </c>
      <c r="L72" s="27">
        <v>45918</v>
      </c>
      <c r="M72" s="33">
        <v>5182</v>
      </c>
      <c r="N72" s="33">
        <v>6289</v>
      </c>
      <c r="O72" s="33">
        <v>5080</v>
      </c>
      <c r="P72" s="33">
        <v>4788</v>
      </c>
      <c r="Q72">
        <f t="shared" si="5"/>
        <v>0</v>
      </c>
    </row>
    <row r="73" spans="1:17" ht="15" x14ac:dyDescent="0.25">
      <c r="A73" s="4">
        <v>45861</v>
      </c>
      <c r="B73" s="1" t="str">
        <f t="shared" si="3"/>
        <v>23/07/25 Miércoles</v>
      </c>
      <c r="C73" s="1" t="s">
        <v>9</v>
      </c>
      <c r="D73">
        <v>48</v>
      </c>
      <c r="E73" s="1">
        <v>75</v>
      </c>
      <c r="F73" s="2">
        <v>75</v>
      </c>
      <c r="G73" s="2">
        <v>0</v>
      </c>
      <c r="H73" s="2">
        <v>74</v>
      </c>
      <c r="I73" s="1">
        <v>1</v>
      </c>
      <c r="K73" s="29">
        <f t="shared" si="4"/>
        <v>45919</v>
      </c>
      <c r="L73" s="27">
        <v>45919</v>
      </c>
      <c r="M73" s="33">
        <v>5431</v>
      </c>
      <c r="N73" s="33">
        <v>6148</v>
      </c>
      <c r="O73" s="33">
        <v>5412</v>
      </c>
      <c r="P73" s="33">
        <v>5068</v>
      </c>
      <c r="Q73">
        <f t="shared" si="5"/>
        <v>0</v>
      </c>
    </row>
    <row r="74" spans="1:17" ht="15" x14ac:dyDescent="0.25">
      <c r="A74" s="4">
        <v>45861</v>
      </c>
      <c r="B74" s="1" t="str">
        <f t="shared" si="3"/>
        <v>23/07/25 Miércoles</v>
      </c>
      <c r="C74" s="1" t="s">
        <v>10</v>
      </c>
      <c r="D74">
        <v>697</v>
      </c>
      <c r="E74" s="1">
        <v>970</v>
      </c>
      <c r="F74" s="2">
        <v>970</v>
      </c>
      <c r="G74" s="2">
        <v>0</v>
      </c>
      <c r="H74" s="2">
        <v>956</v>
      </c>
      <c r="I74" s="1">
        <v>14</v>
      </c>
      <c r="K74" s="29">
        <f t="shared" si="4"/>
        <v>45920</v>
      </c>
      <c r="L74" s="27">
        <v>45920</v>
      </c>
      <c r="M74" s="33">
        <v>2968</v>
      </c>
      <c r="N74" s="33">
        <v>3585</v>
      </c>
      <c r="O74" s="33">
        <v>3102</v>
      </c>
      <c r="P74" s="33">
        <v>2785</v>
      </c>
      <c r="Q74" s="29">
        <f t="shared" si="5"/>
        <v>45920</v>
      </c>
    </row>
    <row r="75" spans="1:17" ht="15" x14ac:dyDescent="0.25">
      <c r="A75" s="4">
        <v>45861</v>
      </c>
      <c r="B75" s="1" t="str">
        <f t="shared" si="3"/>
        <v>23/07/25 Miércoles</v>
      </c>
      <c r="C75" s="1" t="s">
        <v>11</v>
      </c>
      <c r="D75">
        <v>832</v>
      </c>
      <c r="E75" s="1">
        <v>670</v>
      </c>
      <c r="F75" s="2">
        <v>662</v>
      </c>
      <c r="G75" s="2">
        <v>8</v>
      </c>
      <c r="H75" s="2">
        <v>651</v>
      </c>
      <c r="I75" s="1">
        <v>11</v>
      </c>
      <c r="K75" s="29">
        <f t="shared" si="4"/>
        <v>45921</v>
      </c>
      <c r="L75" s="27">
        <v>45921</v>
      </c>
      <c r="M75" s="33">
        <v>3972</v>
      </c>
      <c r="N75" s="33">
        <v>4297</v>
      </c>
      <c r="O75" s="33">
        <v>3962</v>
      </c>
      <c r="P75" s="33">
        <v>3811</v>
      </c>
      <c r="Q75">
        <f t="shared" si="5"/>
        <v>0</v>
      </c>
    </row>
    <row r="76" spans="1:17" ht="15" x14ac:dyDescent="0.25">
      <c r="A76" s="4">
        <v>45861</v>
      </c>
      <c r="B76" s="1" t="str">
        <f t="shared" si="3"/>
        <v>23/07/25 Miércoles</v>
      </c>
      <c r="C76" s="1" t="s">
        <v>12</v>
      </c>
      <c r="D76">
        <v>352</v>
      </c>
      <c r="E76" s="1">
        <v>1047</v>
      </c>
      <c r="F76" s="2">
        <v>730</v>
      </c>
      <c r="G76" s="2">
        <v>317</v>
      </c>
      <c r="H76" s="2">
        <v>653</v>
      </c>
      <c r="I76" s="1">
        <v>77</v>
      </c>
      <c r="K76" s="29">
        <f t="shared" si="4"/>
        <v>45922</v>
      </c>
      <c r="L76" s="27">
        <v>45922</v>
      </c>
      <c r="M76" s="33">
        <v>5350</v>
      </c>
      <c r="N76" s="33">
        <v>6714</v>
      </c>
      <c r="O76" s="33">
        <v>5417</v>
      </c>
      <c r="P76" s="33">
        <v>5089</v>
      </c>
      <c r="Q76" s="29">
        <f t="shared" si="5"/>
        <v>45922</v>
      </c>
    </row>
    <row r="77" spans="1:17" ht="15" x14ac:dyDescent="0.25">
      <c r="A77" s="4">
        <v>45861</v>
      </c>
      <c r="B77" s="1" t="str">
        <f t="shared" si="3"/>
        <v>23/07/25 Miércoles</v>
      </c>
      <c r="C77" s="1" t="s">
        <v>13</v>
      </c>
      <c r="D77">
        <v>896</v>
      </c>
      <c r="E77" s="1">
        <v>1365</v>
      </c>
      <c r="F77" s="2">
        <v>1190</v>
      </c>
      <c r="G77" s="2">
        <v>175</v>
      </c>
      <c r="H77" s="2">
        <v>1141</v>
      </c>
      <c r="I77" s="1">
        <v>49</v>
      </c>
      <c r="K77" s="29">
        <f t="shared" si="4"/>
        <v>45923</v>
      </c>
      <c r="L77" s="27">
        <v>45923</v>
      </c>
      <c r="M77" s="33">
        <v>5295</v>
      </c>
      <c r="N77" s="33">
        <v>6366</v>
      </c>
      <c r="O77" s="33">
        <v>5357</v>
      </c>
      <c r="P77" s="33">
        <v>5056</v>
      </c>
      <c r="Q77" s="29">
        <f t="shared" si="5"/>
        <v>45923</v>
      </c>
    </row>
    <row r="78" spans="1:17" ht="15" x14ac:dyDescent="0.25">
      <c r="A78" s="4">
        <v>45861</v>
      </c>
      <c r="B78" s="1" t="str">
        <f t="shared" si="3"/>
        <v>23/07/25 Miércoles</v>
      </c>
      <c r="C78" s="1" t="s">
        <v>14</v>
      </c>
      <c r="D78">
        <v>1099</v>
      </c>
      <c r="E78" s="1">
        <v>1148</v>
      </c>
      <c r="F78" s="2">
        <v>589</v>
      </c>
      <c r="G78" s="2">
        <v>559</v>
      </c>
      <c r="H78" s="2">
        <v>540</v>
      </c>
      <c r="I78" s="1">
        <v>49</v>
      </c>
      <c r="K78" s="29">
        <f t="shared" si="4"/>
        <v>45924</v>
      </c>
      <c r="L78" s="27">
        <v>45924</v>
      </c>
      <c r="M78" s="33">
        <v>5356</v>
      </c>
      <c r="N78" s="33">
        <v>6520</v>
      </c>
      <c r="O78" s="33">
        <v>4545</v>
      </c>
      <c r="P78" s="33">
        <v>4266</v>
      </c>
      <c r="Q78">
        <f t="shared" si="5"/>
        <v>0</v>
      </c>
    </row>
    <row r="79" spans="1:17" ht="15" x14ac:dyDescent="0.25">
      <c r="A79" s="4">
        <v>45861</v>
      </c>
      <c r="B79" s="1" t="str">
        <f t="shared" si="3"/>
        <v>23/07/25 Miércoles</v>
      </c>
      <c r="C79" s="1" t="s">
        <v>15</v>
      </c>
      <c r="D79">
        <v>663</v>
      </c>
      <c r="E79" s="1">
        <v>703</v>
      </c>
      <c r="F79" s="2">
        <v>515</v>
      </c>
      <c r="G79" s="2">
        <v>188</v>
      </c>
      <c r="H79" s="2">
        <v>483</v>
      </c>
      <c r="I79" s="1">
        <v>32</v>
      </c>
      <c r="K79" s="29">
        <f t="shared" si="4"/>
        <v>45925</v>
      </c>
      <c r="L79" s="27">
        <v>45925</v>
      </c>
      <c r="M79" s="33">
        <v>5257</v>
      </c>
      <c r="N79" s="33">
        <v>6585</v>
      </c>
      <c r="O79" s="33">
        <v>5389</v>
      </c>
      <c r="P79" s="33">
        <v>5067</v>
      </c>
      <c r="Q79" s="29">
        <f t="shared" si="5"/>
        <v>45925</v>
      </c>
    </row>
    <row r="80" spans="1:17" ht="15" x14ac:dyDescent="0.25">
      <c r="A80" s="4">
        <v>45862</v>
      </c>
      <c r="B80" s="1" t="str">
        <f t="shared" si="3"/>
        <v>24/07/25 Jueves</v>
      </c>
      <c r="C80" s="1" t="s">
        <v>8</v>
      </c>
      <c r="D80">
        <v>690</v>
      </c>
      <c r="E80" s="1">
        <v>627</v>
      </c>
      <c r="F80" s="2">
        <v>497</v>
      </c>
      <c r="G80" s="2">
        <v>130</v>
      </c>
      <c r="H80" s="2">
        <v>473</v>
      </c>
      <c r="I80" s="1">
        <v>24</v>
      </c>
      <c r="K80" s="29">
        <f t="shared" si="4"/>
        <v>45926</v>
      </c>
      <c r="L80" s="27">
        <v>45926</v>
      </c>
      <c r="M80" s="33">
        <v>5388</v>
      </c>
      <c r="N80" s="33">
        <v>6199</v>
      </c>
      <c r="O80" s="33">
        <v>5449</v>
      </c>
      <c r="P80" s="33">
        <v>5120</v>
      </c>
      <c r="Q80" s="29">
        <f t="shared" si="5"/>
        <v>45926</v>
      </c>
    </row>
    <row r="81" spans="1:17" ht="15" x14ac:dyDescent="0.25">
      <c r="A81" s="4">
        <v>45862</v>
      </c>
      <c r="B81" s="1" t="str">
        <f t="shared" si="3"/>
        <v>24/07/25 Jueves</v>
      </c>
      <c r="C81" s="1" t="s">
        <v>9</v>
      </c>
      <c r="D81">
        <v>253</v>
      </c>
      <c r="E81" s="1">
        <v>254</v>
      </c>
      <c r="F81" s="2">
        <v>254</v>
      </c>
      <c r="G81" s="2">
        <v>0</v>
      </c>
      <c r="H81" s="2">
        <v>253</v>
      </c>
      <c r="I81" s="1">
        <v>1</v>
      </c>
      <c r="K81" s="29">
        <f t="shared" si="4"/>
        <v>45927</v>
      </c>
      <c r="L81" s="27">
        <v>45927</v>
      </c>
      <c r="M81" s="33">
        <v>2985</v>
      </c>
      <c r="N81" s="33">
        <v>3022</v>
      </c>
      <c r="O81" s="33">
        <v>2447</v>
      </c>
      <c r="P81" s="33">
        <v>2139</v>
      </c>
      <c r="Q81">
        <f t="shared" si="5"/>
        <v>0</v>
      </c>
    </row>
    <row r="82" spans="1:17" ht="15" x14ac:dyDescent="0.25">
      <c r="A82" s="4">
        <v>45862</v>
      </c>
      <c r="B82" s="1" t="str">
        <f t="shared" si="3"/>
        <v>24/07/25 Jueves</v>
      </c>
      <c r="C82" s="1" t="s">
        <v>10</v>
      </c>
      <c r="D82">
        <v>945</v>
      </c>
      <c r="E82" s="1">
        <v>741</v>
      </c>
      <c r="F82" s="2">
        <v>701</v>
      </c>
      <c r="G82" s="2">
        <v>40</v>
      </c>
      <c r="H82" s="2">
        <v>689</v>
      </c>
      <c r="I82" s="1">
        <v>12</v>
      </c>
      <c r="K82" s="29">
        <f t="shared" si="4"/>
        <v>45928</v>
      </c>
      <c r="L82" s="27">
        <v>45928</v>
      </c>
      <c r="M82" s="33">
        <v>3917</v>
      </c>
      <c r="N82" s="33">
        <v>4112</v>
      </c>
      <c r="O82" s="33">
        <v>3759</v>
      </c>
      <c r="P82" s="33">
        <v>3607</v>
      </c>
      <c r="Q82">
        <f t="shared" si="5"/>
        <v>0</v>
      </c>
    </row>
    <row r="83" spans="1:17" ht="15" x14ac:dyDescent="0.25">
      <c r="A83" s="4">
        <v>45862</v>
      </c>
      <c r="B83" s="1" t="str">
        <f t="shared" si="3"/>
        <v>24/07/25 Jueves</v>
      </c>
      <c r="C83" s="1" t="s">
        <v>11</v>
      </c>
      <c r="D83">
        <v>951</v>
      </c>
      <c r="E83" s="1">
        <v>1158</v>
      </c>
      <c r="F83" s="2">
        <v>1139</v>
      </c>
      <c r="G83" s="2">
        <v>19</v>
      </c>
      <c r="H83" s="2">
        <v>1124</v>
      </c>
      <c r="I83" s="1">
        <v>15</v>
      </c>
      <c r="K83" s="29">
        <f t="shared" si="4"/>
        <v>45929</v>
      </c>
      <c r="L83" s="27">
        <v>45929</v>
      </c>
      <c r="M83" s="33">
        <v>5314</v>
      </c>
      <c r="N83" s="33">
        <v>6250</v>
      </c>
      <c r="O83" s="33">
        <v>4782</v>
      </c>
      <c r="P83" s="33">
        <v>4518</v>
      </c>
      <c r="Q83">
        <f t="shared" si="5"/>
        <v>0</v>
      </c>
    </row>
    <row r="84" spans="1:17" ht="15" x14ac:dyDescent="0.25">
      <c r="A84" s="4">
        <v>45862</v>
      </c>
      <c r="B84" s="1" t="str">
        <f t="shared" si="3"/>
        <v>24/07/25 Jueves</v>
      </c>
      <c r="C84" s="1" t="s">
        <v>12</v>
      </c>
      <c r="D84">
        <v>1035</v>
      </c>
      <c r="E84" s="1">
        <v>957</v>
      </c>
      <c r="F84" s="2">
        <v>901</v>
      </c>
      <c r="G84" s="2">
        <v>56</v>
      </c>
      <c r="H84" s="2">
        <v>791</v>
      </c>
      <c r="I84" s="1">
        <v>110</v>
      </c>
      <c r="K84" s="29">
        <f t="shared" si="4"/>
        <v>45930</v>
      </c>
      <c r="L84" s="27">
        <v>45930</v>
      </c>
      <c r="M84" s="33">
        <v>5377</v>
      </c>
      <c r="N84" s="33">
        <v>6741</v>
      </c>
      <c r="O84" s="33">
        <v>4760</v>
      </c>
      <c r="P84" s="33">
        <v>4343</v>
      </c>
      <c r="Q84">
        <f t="shared" si="5"/>
        <v>0</v>
      </c>
    </row>
    <row r="85" spans="1:17" ht="15" x14ac:dyDescent="0.25">
      <c r="A85" s="4">
        <v>45862</v>
      </c>
      <c r="B85" s="1" t="str">
        <f t="shared" si="3"/>
        <v>24/07/25 Jueves</v>
      </c>
      <c r="C85" s="1" t="s">
        <v>13</v>
      </c>
      <c r="D85">
        <v>474</v>
      </c>
      <c r="E85" s="1">
        <v>904</v>
      </c>
      <c r="F85" s="2">
        <v>752</v>
      </c>
      <c r="G85" s="2">
        <v>152</v>
      </c>
      <c r="H85" s="2">
        <v>711</v>
      </c>
      <c r="I85" s="1">
        <v>41</v>
      </c>
      <c r="K85" s="29">
        <f t="shared" si="4"/>
        <v>45931</v>
      </c>
      <c r="L85" s="27">
        <v>45931</v>
      </c>
      <c r="M85" s="33">
        <v>5278</v>
      </c>
      <c r="N85" s="33">
        <v>5315</v>
      </c>
      <c r="O85" s="33">
        <v>2280</v>
      </c>
      <c r="P85" s="33">
        <v>2142</v>
      </c>
      <c r="Q85">
        <f t="shared" si="5"/>
        <v>0</v>
      </c>
    </row>
    <row r="86" spans="1:17" ht="15" x14ac:dyDescent="0.25">
      <c r="A86" s="4">
        <v>45862</v>
      </c>
      <c r="B86" s="1" t="str">
        <f t="shared" si="3"/>
        <v>24/07/25 Jueves</v>
      </c>
      <c r="C86" s="1" t="s">
        <v>14</v>
      </c>
      <c r="D86">
        <v>286</v>
      </c>
      <c r="E86" s="1">
        <v>623</v>
      </c>
      <c r="F86" s="2">
        <v>469</v>
      </c>
      <c r="G86" s="2">
        <v>154</v>
      </c>
      <c r="H86" s="2">
        <v>435</v>
      </c>
      <c r="I86" s="1">
        <v>34</v>
      </c>
      <c r="K86" s="29">
        <f t="shared" si="4"/>
        <v>45932</v>
      </c>
      <c r="L86" s="27">
        <v>45932</v>
      </c>
      <c r="M86" s="33">
        <v>5407</v>
      </c>
      <c r="N86" s="33">
        <v>5622</v>
      </c>
      <c r="O86" s="33">
        <v>4257</v>
      </c>
      <c r="P86" s="33">
        <v>3995</v>
      </c>
      <c r="Q86">
        <f t="shared" si="5"/>
        <v>0</v>
      </c>
    </row>
    <row r="87" spans="1:17" ht="15" x14ac:dyDescent="0.25">
      <c r="A87" s="4">
        <v>45862</v>
      </c>
      <c r="B87" s="1" t="str">
        <f t="shared" si="3"/>
        <v>24/07/25 Jueves</v>
      </c>
      <c r="C87" s="1" t="s">
        <v>15</v>
      </c>
      <c r="D87">
        <v>737</v>
      </c>
      <c r="E87" s="1">
        <v>1074</v>
      </c>
      <c r="F87" s="2">
        <v>761</v>
      </c>
      <c r="G87" s="2">
        <v>313</v>
      </c>
      <c r="H87" s="2">
        <v>709</v>
      </c>
      <c r="I87" s="1">
        <v>52</v>
      </c>
      <c r="K87" s="29">
        <f t="shared" si="4"/>
        <v>45933</v>
      </c>
      <c r="L87" s="27">
        <v>45933</v>
      </c>
      <c r="M87" s="33">
        <v>5284</v>
      </c>
      <c r="N87" s="33">
        <v>6408</v>
      </c>
      <c r="O87" s="33">
        <v>4630</v>
      </c>
      <c r="P87" s="33">
        <v>4356</v>
      </c>
      <c r="Q87">
        <f t="shared" si="5"/>
        <v>0</v>
      </c>
    </row>
    <row r="88" spans="1:17" ht="15" x14ac:dyDescent="0.25">
      <c r="A88" s="4">
        <v>45863</v>
      </c>
      <c r="B88" s="1" t="str">
        <f t="shared" si="3"/>
        <v>25/07/25 Viernes</v>
      </c>
      <c r="C88" s="1" t="s">
        <v>8</v>
      </c>
      <c r="D88">
        <v>697</v>
      </c>
      <c r="E88" s="1">
        <v>1198</v>
      </c>
      <c r="F88" s="2">
        <v>790</v>
      </c>
      <c r="G88" s="2">
        <v>408</v>
      </c>
      <c r="H88" s="2">
        <v>736</v>
      </c>
      <c r="I88" s="1">
        <v>54</v>
      </c>
      <c r="K88" s="29">
        <f t="shared" si="4"/>
        <v>45934</v>
      </c>
      <c r="L88" s="27">
        <v>45934</v>
      </c>
      <c r="M88" s="33">
        <v>2936</v>
      </c>
      <c r="N88" s="33">
        <v>3081</v>
      </c>
      <c r="O88" s="33">
        <v>2086</v>
      </c>
      <c r="P88" s="33">
        <v>1903</v>
      </c>
      <c r="Q88">
        <f t="shared" si="5"/>
        <v>0</v>
      </c>
    </row>
    <row r="89" spans="1:17" ht="15" x14ac:dyDescent="0.25">
      <c r="A89" s="4">
        <v>45863</v>
      </c>
      <c r="B89" s="1" t="str">
        <f t="shared" si="3"/>
        <v>25/07/25 Viernes</v>
      </c>
      <c r="C89" s="1" t="s">
        <v>9</v>
      </c>
      <c r="D89">
        <v>48</v>
      </c>
      <c r="E89" s="1">
        <v>163</v>
      </c>
      <c r="F89" s="2">
        <v>162</v>
      </c>
      <c r="G89" s="2">
        <v>1</v>
      </c>
      <c r="H89" s="2">
        <v>157</v>
      </c>
      <c r="I89" s="1">
        <v>5</v>
      </c>
      <c r="K89" s="29">
        <f t="shared" si="4"/>
        <v>45935</v>
      </c>
      <c r="L89" s="27">
        <v>45935</v>
      </c>
      <c r="M89" s="33">
        <v>4066</v>
      </c>
      <c r="N89" s="33">
        <v>4273</v>
      </c>
      <c r="O89" s="33">
        <v>3106</v>
      </c>
      <c r="P89" s="33">
        <v>2956</v>
      </c>
      <c r="Q89">
        <f t="shared" si="5"/>
        <v>0</v>
      </c>
    </row>
    <row r="90" spans="1:17" ht="15" x14ac:dyDescent="0.25">
      <c r="A90" s="4">
        <v>45863</v>
      </c>
      <c r="B90" s="1" t="str">
        <f t="shared" si="3"/>
        <v>25/07/25 Viernes</v>
      </c>
      <c r="C90" s="1" t="s">
        <v>10</v>
      </c>
      <c r="D90">
        <v>697</v>
      </c>
      <c r="E90" s="1">
        <v>1310</v>
      </c>
      <c r="F90" s="2">
        <v>1210</v>
      </c>
      <c r="G90" s="2">
        <v>100</v>
      </c>
      <c r="H90" s="2">
        <v>1065</v>
      </c>
      <c r="I90" s="1">
        <v>145</v>
      </c>
      <c r="K90" s="29">
        <f t="shared" si="4"/>
        <v>45936</v>
      </c>
      <c r="L90" s="27">
        <v>45936</v>
      </c>
      <c r="M90" s="33">
        <v>5500</v>
      </c>
      <c r="N90" s="33">
        <v>6024</v>
      </c>
      <c r="O90" s="33">
        <v>3481</v>
      </c>
      <c r="P90" s="33">
        <v>3311</v>
      </c>
      <c r="Q90">
        <f t="shared" si="5"/>
        <v>0</v>
      </c>
    </row>
    <row r="91" spans="1:17" ht="15" x14ac:dyDescent="0.25">
      <c r="A91" s="4">
        <v>45863</v>
      </c>
      <c r="B91" s="1" t="str">
        <f t="shared" si="3"/>
        <v>25/07/25 Viernes</v>
      </c>
      <c r="C91" s="1" t="s">
        <v>11</v>
      </c>
      <c r="D91">
        <v>832</v>
      </c>
      <c r="E91" s="1">
        <v>683</v>
      </c>
      <c r="F91" s="2">
        <v>683</v>
      </c>
      <c r="G91" s="2">
        <v>0</v>
      </c>
      <c r="H91" s="2">
        <v>678</v>
      </c>
      <c r="I91" s="1">
        <v>5</v>
      </c>
      <c r="K91" s="29">
        <f t="shared" si="4"/>
        <v>45937</v>
      </c>
      <c r="L91" s="27">
        <v>45937</v>
      </c>
      <c r="M91" s="33">
        <v>5155</v>
      </c>
      <c r="N91" s="33">
        <v>5166</v>
      </c>
      <c r="O91" s="33">
        <v>3602</v>
      </c>
      <c r="P91" s="33">
        <v>3380</v>
      </c>
      <c r="Q91">
        <f t="shared" si="5"/>
        <v>0</v>
      </c>
    </row>
    <row r="92" spans="1:17" ht="15" x14ac:dyDescent="0.25">
      <c r="A92" s="4">
        <v>45863</v>
      </c>
      <c r="B92" s="1" t="str">
        <f t="shared" si="3"/>
        <v>25/07/25 Viernes</v>
      </c>
      <c r="C92" s="1" t="s">
        <v>12</v>
      </c>
      <c r="D92">
        <v>352</v>
      </c>
      <c r="E92" s="1">
        <v>852</v>
      </c>
      <c r="F92" s="2">
        <v>565</v>
      </c>
      <c r="G92" s="2">
        <v>287</v>
      </c>
      <c r="H92" s="2">
        <v>531</v>
      </c>
      <c r="I92" s="1">
        <v>34</v>
      </c>
      <c r="K92" s="29">
        <f t="shared" si="4"/>
        <v>45938</v>
      </c>
      <c r="L92" s="27">
        <v>45938</v>
      </c>
      <c r="M92" s="33">
        <v>5530</v>
      </c>
      <c r="N92" s="33">
        <v>6497</v>
      </c>
      <c r="O92" s="33">
        <v>4909</v>
      </c>
      <c r="P92" s="33">
        <v>4574</v>
      </c>
      <c r="Q92">
        <f t="shared" si="5"/>
        <v>0</v>
      </c>
    </row>
    <row r="93" spans="1:17" ht="15" x14ac:dyDescent="0.25">
      <c r="A93" s="4">
        <v>45863</v>
      </c>
      <c r="B93" s="1" t="str">
        <f t="shared" si="3"/>
        <v>25/07/25 Viernes</v>
      </c>
      <c r="C93" s="1" t="s">
        <v>13</v>
      </c>
      <c r="D93">
        <v>926</v>
      </c>
      <c r="E93" s="1">
        <v>1021</v>
      </c>
      <c r="F93" s="2">
        <v>784</v>
      </c>
      <c r="G93" s="2">
        <v>237</v>
      </c>
      <c r="H93" s="2">
        <v>751</v>
      </c>
      <c r="I93" s="1">
        <v>33</v>
      </c>
      <c r="K93" s="29">
        <f t="shared" si="4"/>
        <v>45939</v>
      </c>
      <c r="L93" s="27">
        <v>45939</v>
      </c>
      <c r="M93" s="33">
        <v>5161</v>
      </c>
      <c r="N93" s="33">
        <v>6713</v>
      </c>
      <c r="O93" s="33">
        <v>5165</v>
      </c>
      <c r="P93" s="33">
        <v>4806</v>
      </c>
      <c r="Q93" s="29">
        <f t="shared" si="5"/>
        <v>45939</v>
      </c>
    </row>
    <row r="94" spans="1:17" ht="15" x14ac:dyDescent="0.25">
      <c r="A94" s="4">
        <v>45863</v>
      </c>
      <c r="B94" s="1" t="str">
        <f t="shared" si="3"/>
        <v>25/07/25 Viernes</v>
      </c>
      <c r="C94" s="1" t="s">
        <v>14</v>
      </c>
      <c r="D94">
        <v>1099</v>
      </c>
      <c r="E94" s="1">
        <v>1568</v>
      </c>
      <c r="F94" s="2">
        <v>809</v>
      </c>
      <c r="G94" s="2">
        <v>759</v>
      </c>
      <c r="H94" s="2">
        <v>754</v>
      </c>
      <c r="I94" s="1">
        <v>55</v>
      </c>
      <c r="K94" s="29">
        <f t="shared" si="4"/>
        <v>45940</v>
      </c>
      <c r="L94" s="27">
        <v>45940</v>
      </c>
      <c r="M94" s="33">
        <v>5494</v>
      </c>
      <c r="N94" s="33">
        <v>6694</v>
      </c>
      <c r="O94" s="33">
        <v>4932</v>
      </c>
      <c r="P94" s="33">
        <v>4601</v>
      </c>
      <c r="Q94">
        <f t="shared" si="5"/>
        <v>0</v>
      </c>
    </row>
    <row r="95" spans="1:17" ht="15" x14ac:dyDescent="0.25">
      <c r="A95" s="4">
        <v>45863</v>
      </c>
      <c r="B95" s="1" t="str">
        <f t="shared" si="3"/>
        <v>25/07/25 Viernes</v>
      </c>
      <c r="C95" s="1" t="s">
        <v>15</v>
      </c>
      <c r="D95">
        <v>663</v>
      </c>
      <c r="E95" s="1">
        <v>981</v>
      </c>
      <c r="F95" s="2">
        <v>555</v>
      </c>
      <c r="G95" s="2">
        <v>426</v>
      </c>
      <c r="H95" s="2">
        <v>519</v>
      </c>
      <c r="I95" s="1">
        <v>36</v>
      </c>
      <c r="K95" s="29">
        <f t="shared" si="4"/>
        <v>45941</v>
      </c>
      <c r="L95" s="27">
        <v>45941</v>
      </c>
      <c r="M95" s="33">
        <v>2939</v>
      </c>
      <c r="N95" s="33">
        <v>3565</v>
      </c>
      <c r="O95" s="33">
        <v>2702</v>
      </c>
      <c r="P95" s="33">
        <v>2347</v>
      </c>
      <c r="Q95">
        <f t="shared" si="5"/>
        <v>0</v>
      </c>
    </row>
    <row r="96" spans="1:17" ht="15" x14ac:dyDescent="0.25">
      <c r="A96" s="4">
        <v>45864</v>
      </c>
      <c r="B96" s="1" t="str">
        <f t="shared" si="3"/>
        <v>26/07/25 Sábado</v>
      </c>
      <c r="C96" s="1" t="s">
        <v>8</v>
      </c>
      <c r="D96">
        <v>690</v>
      </c>
      <c r="E96" s="1">
        <v>896</v>
      </c>
      <c r="F96" s="2">
        <v>477</v>
      </c>
      <c r="G96" s="2">
        <v>419</v>
      </c>
      <c r="H96" s="2">
        <v>453</v>
      </c>
      <c r="I96" s="1">
        <v>24</v>
      </c>
      <c r="K96" s="29">
        <f t="shared" si="4"/>
        <v>45942</v>
      </c>
      <c r="L96" s="27">
        <v>45942</v>
      </c>
      <c r="M96" s="33">
        <v>4069</v>
      </c>
      <c r="N96" s="33">
        <v>3934</v>
      </c>
      <c r="O96" s="33">
        <v>3178</v>
      </c>
      <c r="P96" s="33">
        <v>3040</v>
      </c>
      <c r="Q96">
        <f t="shared" si="5"/>
        <v>0</v>
      </c>
    </row>
    <row r="97" spans="1:17" ht="15" x14ac:dyDescent="0.25">
      <c r="A97" s="4">
        <v>45864</v>
      </c>
      <c r="B97" s="1" t="str">
        <f t="shared" si="3"/>
        <v>26/07/25 Sábado</v>
      </c>
      <c r="C97" s="1" t="s">
        <v>10</v>
      </c>
      <c r="D97">
        <v>0</v>
      </c>
      <c r="E97" s="1">
        <v>96</v>
      </c>
      <c r="F97" s="2">
        <v>76</v>
      </c>
      <c r="G97" s="2">
        <v>20</v>
      </c>
      <c r="H97" s="2">
        <v>70</v>
      </c>
      <c r="I97" s="1">
        <v>6</v>
      </c>
      <c r="K97" s="29">
        <f t="shared" si="4"/>
        <v>45943</v>
      </c>
      <c r="L97" s="27">
        <v>45943</v>
      </c>
      <c r="M97" s="33">
        <v>5278</v>
      </c>
      <c r="N97" s="33">
        <v>6836</v>
      </c>
      <c r="O97" s="33">
        <v>4918</v>
      </c>
      <c r="P97" s="33">
        <v>4535</v>
      </c>
      <c r="Q97">
        <f t="shared" si="5"/>
        <v>0</v>
      </c>
    </row>
    <row r="98" spans="1:17" ht="15" x14ac:dyDescent="0.25">
      <c r="A98" s="4">
        <v>45864</v>
      </c>
      <c r="B98" s="1" t="str">
        <f t="shared" si="3"/>
        <v>26/07/25 Sábado</v>
      </c>
      <c r="C98" s="1" t="s">
        <v>12</v>
      </c>
      <c r="D98">
        <v>935</v>
      </c>
      <c r="E98" s="1">
        <v>1321</v>
      </c>
      <c r="F98" s="2">
        <v>815</v>
      </c>
      <c r="G98" s="2">
        <v>506</v>
      </c>
      <c r="H98" s="2">
        <v>739</v>
      </c>
      <c r="I98" s="1">
        <v>76</v>
      </c>
      <c r="K98" s="29">
        <f t="shared" si="4"/>
        <v>45944</v>
      </c>
      <c r="L98" s="27">
        <v>45944</v>
      </c>
      <c r="M98" s="33">
        <v>5407</v>
      </c>
      <c r="N98" s="33">
        <v>606</v>
      </c>
      <c r="O98" s="33">
        <v>258</v>
      </c>
      <c r="P98" s="33">
        <v>224</v>
      </c>
      <c r="Q98">
        <f t="shared" si="5"/>
        <v>0</v>
      </c>
    </row>
    <row r="99" spans="1:17" ht="15" x14ac:dyDescent="0.25">
      <c r="A99" s="4">
        <v>45864</v>
      </c>
      <c r="B99" s="1" t="str">
        <f t="shared" si="3"/>
        <v>26/07/25 Sábado</v>
      </c>
      <c r="C99" s="1" t="s">
        <v>13</v>
      </c>
      <c r="D99">
        <v>288</v>
      </c>
      <c r="E99" s="1">
        <v>750</v>
      </c>
      <c r="F99" s="2">
        <v>372</v>
      </c>
      <c r="G99" s="2">
        <v>378</v>
      </c>
      <c r="H99" s="2">
        <v>345</v>
      </c>
      <c r="I99" s="1">
        <v>27</v>
      </c>
      <c r="K99" s="29">
        <f t="shared" si="4"/>
        <v>45945</v>
      </c>
      <c r="L99" s="27">
        <v>45945</v>
      </c>
      <c r="M99" s="33">
        <v>5284</v>
      </c>
      <c r="N99" s="33">
        <v>4297</v>
      </c>
      <c r="O99" s="33">
        <v>3228</v>
      </c>
      <c r="P99" s="33">
        <v>3062</v>
      </c>
      <c r="Q99">
        <f t="shared" si="5"/>
        <v>0</v>
      </c>
    </row>
    <row r="100" spans="1:17" ht="15" x14ac:dyDescent="0.25">
      <c r="A100" s="4">
        <v>45864</v>
      </c>
      <c r="B100" s="1" t="str">
        <f t="shared" si="3"/>
        <v>26/07/25 Sábado</v>
      </c>
      <c r="C100" s="1" t="s">
        <v>14</v>
      </c>
      <c r="D100">
        <v>286</v>
      </c>
      <c r="E100" s="1">
        <v>1049</v>
      </c>
      <c r="F100" s="2">
        <v>623</v>
      </c>
      <c r="G100" s="2">
        <v>426</v>
      </c>
      <c r="H100" s="2">
        <v>559</v>
      </c>
      <c r="I100" s="1">
        <v>64</v>
      </c>
      <c r="K100" s="29">
        <f t="shared" si="4"/>
        <v>45946</v>
      </c>
      <c r="L100" s="27">
        <v>45946</v>
      </c>
      <c r="M100" s="33">
        <v>5371</v>
      </c>
      <c r="N100" s="33">
        <v>6632</v>
      </c>
      <c r="O100" s="33">
        <v>4667</v>
      </c>
      <c r="P100" s="33">
        <v>4324</v>
      </c>
      <c r="Q100">
        <f t="shared" si="5"/>
        <v>0</v>
      </c>
    </row>
    <row r="101" spans="1:17" ht="15" x14ac:dyDescent="0.25">
      <c r="A101" s="4">
        <v>45864</v>
      </c>
      <c r="B101" s="1" t="str">
        <f t="shared" si="3"/>
        <v>26/07/25 Sábado</v>
      </c>
      <c r="C101" s="1" t="s">
        <v>15</v>
      </c>
      <c r="D101">
        <v>737</v>
      </c>
      <c r="E101" s="1">
        <v>545</v>
      </c>
      <c r="F101" s="2">
        <v>484</v>
      </c>
      <c r="G101" s="2">
        <v>61</v>
      </c>
      <c r="H101" s="2">
        <v>457</v>
      </c>
      <c r="I101" s="1">
        <v>27</v>
      </c>
      <c r="K101" s="29">
        <f t="shared" si="4"/>
        <v>45947</v>
      </c>
      <c r="L101" s="27">
        <v>45947</v>
      </c>
      <c r="M101" s="33">
        <v>5314</v>
      </c>
      <c r="N101" s="33">
        <v>6022</v>
      </c>
      <c r="O101" s="33">
        <v>3834</v>
      </c>
      <c r="P101" s="33">
        <v>3638</v>
      </c>
      <c r="Q101">
        <f t="shared" si="5"/>
        <v>0</v>
      </c>
    </row>
    <row r="102" spans="1:17" ht="15" x14ac:dyDescent="0.25">
      <c r="A102" s="4">
        <v>45865</v>
      </c>
      <c r="B102" s="1" t="str">
        <f t="shared" si="3"/>
        <v>27/07/25 Domingo</v>
      </c>
      <c r="C102" s="1" t="s">
        <v>8</v>
      </c>
      <c r="D102">
        <v>141</v>
      </c>
      <c r="E102" s="1">
        <v>442</v>
      </c>
      <c r="F102" s="2">
        <v>369</v>
      </c>
      <c r="G102" s="2">
        <v>73</v>
      </c>
      <c r="H102" s="2">
        <v>328</v>
      </c>
      <c r="I102" s="1">
        <v>41</v>
      </c>
      <c r="K102" s="29">
        <f t="shared" si="4"/>
        <v>45948</v>
      </c>
      <c r="L102" s="27">
        <v>45948</v>
      </c>
      <c r="M102" s="33">
        <v>2936</v>
      </c>
      <c r="N102" s="33">
        <v>3252</v>
      </c>
      <c r="O102" s="33">
        <v>1080</v>
      </c>
      <c r="P102" s="33">
        <v>969</v>
      </c>
      <c r="Q102">
        <f t="shared" si="5"/>
        <v>0</v>
      </c>
    </row>
    <row r="103" spans="1:17" ht="15" x14ac:dyDescent="0.25">
      <c r="A103" s="4">
        <v>45865</v>
      </c>
      <c r="B103" s="1" t="str">
        <f t="shared" si="3"/>
        <v>27/07/25 Domingo</v>
      </c>
      <c r="C103" s="1" t="s">
        <v>9</v>
      </c>
      <c r="D103">
        <v>301</v>
      </c>
      <c r="E103" s="1">
        <v>271</v>
      </c>
      <c r="F103" s="2">
        <v>196</v>
      </c>
      <c r="G103" s="2">
        <v>75</v>
      </c>
      <c r="H103" s="2">
        <v>176</v>
      </c>
      <c r="I103" s="1">
        <v>20</v>
      </c>
      <c r="K103" s="29">
        <f t="shared" si="4"/>
        <v>45949</v>
      </c>
      <c r="L103" s="27">
        <v>45949</v>
      </c>
      <c r="M103" s="33">
        <v>4036</v>
      </c>
      <c r="N103" s="33">
        <v>3097</v>
      </c>
      <c r="O103" s="33">
        <v>2018</v>
      </c>
      <c r="P103" s="33">
        <v>1953</v>
      </c>
      <c r="Q103">
        <f t="shared" si="5"/>
        <v>0</v>
      </c>
    </row>
    <row r="104" spans="1:17" ht="15" x14ac:dyDescent="0.25">
      <c r="A104" s="4">
        <v>45865</v>
      </c>
      <c r="B104" s="1" t="str">
        <f t="shared" si="3"/>
        <v>27/07/25 Domingo</v>
      </c>
      <c r="C104" s="1" t="s">
        <v>10</v>
      </c>
      <c r="D104">
        <v>945</v>
      </c>
      <c r="E104" s="1">
        <v>655</v>
      </c>
      <c r="F104" s="2">
        <v>554</v>
      </c>
      <c r="G104" s="2">
        <v>101</v>
      </c>
      <c r="H104" s="2">
        <v>470</v>
      </c>
      <c r="I104" s="1">
        <v>84</v>
      </c>
      <c r="K104" s="29">
        <f t="shared" si="4"/>
        <v>45950</v>
      </c>
      <c r="L104" s="27">
        <v>45950</v>
      </c>
      <c r="M104" s="33">
        <v>5530</v>
      </c>
      <c r="N104" s="33">
        <v>5337</v>
      </c>
      <c r="O104" s="33">
        <v>2682</v>
      </c>
      <c r="P104" s="33">
        <v>2456</v>
      </c>
      <c r="Q104">
        <f t="shared" si="5"/>
        <v>0</v>
      </c>
    </row>
    <row r="105" spans="1:17" ht="15" x14ac:dyDescent="0.25">
      <c r="A105" s="4">
        <v>45865</v>
      </c>
      <c r="B105" s="1" t="str">
        <f t="shared" si="3"/>
        <v>27/07/25 Domingo</v>
      </c>
      <c r="C105" s="1" t="s">
        <v>11</v>
      </c>
      <c r="D105">
        <v>1783</v>
      </c>
      <c r="E105" s="1">
        <v>1155</v>
      </c>
      <c r="F105" s="2">
        <v>1074</v>
      </c>
      <c r="G105" s="2">
        <v>81</v>
      </c>
      <c r="H105" s="2">
        <v>871</v>
      </c>
      <c r="I105" s="1">
        <v>203</v>
      </c>
      <c r="K105" s="29">
        <f t="shared" si="4"/>
        <v>45951</v>
      </c>
      <c r="L105" s="27">
        <v>45951</v>
      </c>
      <c r="M105" s="33">
        <v>5161</v>
      </c>
      <c r="N105" s="33">
        <v>5848</v>
      </c>
      <c r="O105" s="33">
        <v>3530</v>
      </c>
      <c r="P105" s="33">
        <v>3320</v>
      </c>
      <c r="Q105">
        <f t="shared" si="5"/>
        <v>0</v>
      </c>
    </row>
    <row r="106" spans="1:17" ht="15" x14ac:dyDescent="0.25">
      <c r="A106" s="4">
        <v>45865</v>
      </c>
      <c r="B106" s="1" t="str">
        <f t="shared" si="3"/>
        <v>27/07/25 Domingo</v>
      </c>
      <c r="C106" s="1" t="s">
        <v>12</v>
      </c>
      <c r="D106">
        <v>452</v>
      </c>
      <c r="E106" s="1">
        <v>270</v>
      </c>
      <c r="F106" s="2">
        <v>268</v>
      </c>
      <c r="G106" s="2">
        <v>2</v>
      </c>
      <c r="H106" s="2">
        <v>239</v>
      </c>
      <c r="I106" s="1">
        <v>29</v>
      </c>
      <c r="K106" s="29">
        <f t="shared" si="4"/>
        <v>45952</v>
      </c>
      <c r="L106" s="27">
        <v>45952</v>
      </c>
      <c r="M106" s="33">
        <v>5494</v>
      </c>
      <c r="N106" s="33">
        <v>4616</v>
      </c>
      <c r="O106" s="33">
        <v>3749</v>
      </c>
      <c r="P106" s="33">
        <v>3580</v>
      </c>
      <c r="Q106">
        <f t="shared" si="5"/>
        <v>0</v>
      </c>
    </row>
    <row r="107" spans="1:17" ht="15" x14ac:dyDescent="0.25">
      <c r="A107" s="4">
        <v>45865</v>
      </c>
      <c r="B107" s="1" t="str">
        <f t="shared" si="3"/>
        <v>27/07/25 Domingo</v>
      </c>
      <c r="C107" s="1" t="s">
        <v>13</v>
      </c>
      <c r="D107">
        <v>414</v>
      </c>
      <c r="E107" s="1">
        <v>641</v>
      </c>
      <c r="F107" s="2">
        <v>490</v>
      </c>
      <c r="G107" s="2">
        <v>151</v>
      </c>
      <c r="H107" s="2">
        <v>402</v>
      </c>
      <c r="I107" s="1">
        <v>88</v>
      </c>
      <c r="K107" s="29">
        <f t="shared" si="4"/>
        <v>45953</v>
      </c>
      <c r="L107" s="27">
        <v>45953</v>
      </c>
      <c r="M107" s="33">
        <v>5191</v>
      </c>
      <c r="N107" s="33">
        <v>4984</v>
      </c>
      <c r="O107" s="33">
        <v>3893</v>
      </c>
      <c r="P107" s="33">
        <v>3710</v>
      </c>
      <c r="Q107">
        <f t="shared" si="5"/>
        <v>0</v>
      </c>
    </row>
    <row r="108" spans="1:17" ht="15" x14ac:dyDescent="0.25">
      <c r="A108" s="4">
        <v>45865</v>
      </c>
      <c r="B108" s="1" t="str">
        <f t="shared" si="3"/>
        <v>27/07/25 Domingo</v>
      </c>
      <c r="C108" s="1" t="s">
        <v>14</v>
      </c>
      <c r="D108">
        <v>0</v>
      </c>
      <c r="E108" s="1">
        <v>136</v>
      </c>
      <c r="F108" s="2">
        <v>125</v>
      </c>
      <c r="G108" s="2">
        <v>11</v>
      </c>
      <c r="H108" s="2">
        <v>113</v>
      </c>
      <c r="I108" s="1">
        <v>12</v>
      </c>
      <c r="K108" s="29">
        <f t="shared" si="4"/>
        <v>45954</v>
      </c>
      <c r="L108" s="27">
        <v>45954</v>
      </c>
      <c r="M108" s="33">
        <v>5500</v>
      </c>
      <c r="N108" s="33">
        <v>5933</v>
      </c>
      <c r="O108" s="33">
        <v>3615</v>
      </c>
      <c r="P108" s="33">
        <v>3442</v>
      </c>
      <c r="Q108">
        <f t="shared" si="5"/>
        <v>0</v>
      </c>
    </row>
    <row r="109" spans="1:17" ht="15" x14ac:dyDescent="0.25">
      <c r="A109" s="4">
        <v>45865</v>
      </c>
      <c r="B109" s="1" t="str">
        <f t="shared" si="3"/>
        <v>27/07/25 Domingo</v>
      </c>
      <c r="C109" s="1" t="s">
        <v>15</v>
      </c>
      <c r="D109">
        <v>0</v>
      </c>
      <c r="E109" s="1">
        <v>410</v>
      </c>
      <c r="F109" s="2">
        <v>367</v>
      </c>
      <c r="G109" s="2">
        <v>43</v>
      </c>
      <c r="H109" s="2">
        <v>332</v>
      </c>
      <c r="I109" s="1">
        <v>35</v>
      </c>
      <c r="K109" s="29">
        <f t="shared" si="4"/>
        <v>45955</v>
      </c>
      <c r="L109" s="27">
        <v>45955</v>
      </c>
      <c r="M109" s="33">
        <v>2939</v>
      </c>
      <c r="N109" s="33">
        <v>2714</v>
      </c>
      <c r="O109" s="33">
        <v>1770</v>
      </c>
      <c r="P109" s="33">
        <v>1602</v>
      </c>
      <c r="Q109">
        <f t="shared" si="5"/>
        <v>0</v>
      </c>
    </row>
    <row r="110" spans="1:17" ht="15" x14ac:dyDescent="0.25">
      <c r="A110" s="4">
        <v>45866</v>
      </c>
      <c r="B110" s="1" t="str">
        <f t="shared" si="3"/>
        <v>28/07/25 Lunes</v>
      </c>
      <c r="C110" s="1" t="s">
        <v>8</v>
      </c>
      <c r="D110">
        <v>694</v>
      </c>
      <c r="E110" s="1">
        <v>578</v>
      </c>
      <c r="F110" s="2">
        <v>442</v>
      </c>
      <c r="G110" s="2">
        <v>136</v>
      </c>
      <c r="H110" s="2">
        <v>420</v>
      </c>
      <c r="I110" s="1">
        <v>22</v>
      </c>
      <c r="K110" s="29">
        <f t="shared" si="4"/>
        <v>45956</v>
      </c>
      <c r="L110" s="27">
        <v>45956</v>
      </c>
      <c r="M110" s="33">
        <v>4063</v>
      </c>
      <c r="N110" s="33">
        <v>2937</v>
      </c>
      <c r="O110" s="33">
        <v>2494</v>
      </c>
      <c r="P110" s="33">
        <v>2113</v>
      </c>
      <c r="Q110">
        <f t="shared" si="5"/>
        <v>0</v>
      </c>
    </row>
    <row r="111" spans="1:17" ht="15" x14ac:dyDescent="0.25">
      <c r="A111" s="4">
        <v>45866</v>
      </c>
      <c r="B111" s="1" t="str">
        <f t="shared" si="3"/>
        <v>28/07/25 Lunes</v>
      </c>
      <c r="C111" s="1" t="s">
        <v>9</v>
      </c>
      <c r="D111">
        <v>48</v>
      </c>
      <c r="E111" s="1">
        <v>130</v>
      </c>
      <c r="F111" s="2">
        <v>130</v>
      </c>
      <c r="G111" s="2">
        <v>0</v>
      </c>
      <c r="H111" s="2">
        <v>127</v>
      </c>
      <c r="I111" s="1">
        <v>3</v>
      </c>
      <c r="K111" s="29">
        <f t="shared" si="4"/>
        <v>45957</v>
      </c>
      <c r="L111" s="27">
        <v>45957</v>
      </c>
      <c r="M111" s="33">
        <v>5284</v>
      </c>
      <c r="N111" s="33">
        <v>5712</v>
      </c>
      <c r="O111" s="33">
        <v>3297</v>
      </c>
      <c r="P111" s="33">
        <v>3122</v>
      </c>
      <c r="Q111">
        <f t="shared" si="5"/>
        <v>0</v>
      </c>
    </row>
    <row r="112" spans="1:17" ht="15" x14ac:dyDescent="0.25">
      <c r="A112" s="4">
        <v>45866</v>
      </c>
      <c r="B112" s="1" t="str">
        <f t="shared" si="3"/>
        <v>28/07/25 Lunes</v>
      </c>
      <c r="C112" s="1" t="s">
        <v>10</v>
      </c>
      <c r="D112">
        <v>697</v>
      </c>
      <c r="E112" s="1">
        <v>1236</v>
      </c>
      <c r="F112" s="2">
        <v>1018</v>
      </c>
      <c r="G112" s="2">
        <v>218</v>
      </c>
      <c r="H112" s="2">
        <v>984</v>
      </c>
      <c r="I112" s="1">
        <v>34</v>
      </c>
      <c r="K112" s="29">
        <f t="shared" si="4"/>
        <v>45958</v>
      </c>
      <c r="L112" s="27">
        <v>45958</v>
      </c>
      <c r="M112" s="33">
        <v>5371</v>
      </c>
      <c r="N112" s="33">
        <v>1889</v>
      </c>
      <c r="O112" s="33">
        <v>1378</v>
      </c>
      <c r="P112" s="33">
        <v>1240</v>
      </c>
      <c r="Q112">
        <f t="shared" si="5"/>
        <v>0</v>
      </c>
    </row>
    <row r="113" spans="1:17" ht="15" x14ac:dyDescent="0.25">
      <c r="A113" s="4">
        <v>45866</v>
      </c>
      <c r="B113" s="1" t="str">
        <f t="shared" si="3"/>
        <v>28/07/25 Lunes</v>
      </c>
      <c r="C113" s="1" t="s">
        <v>11</v>
      </c>
      <c r="D113">
        <v>951</v>
      </c>
      <c r="E113" s="1">
        <v>863</v>
      </c>
      <c r="F113" s="2">
        <v>851</v>
      </c>
      <c r="G113" s="2">
        <v>12</v>
      </c>
      <c r="H113" s="2">
        <v>832</v>
      </c>
      <c r="I113" s="1">
        <v>19</v>
      </c>
      <c r="K113" s="29">
        <f t="shared" si="4"/>
        <v>45959</v>
      </c>
      <c r="L113" s="27">
        <v>45959</v>
      </c>
      <c r="M113" s="33">
        <v>5190</v>
      </c>
      <c r="N113" s="33">
        <v>2559</v>
      </c>
      <c r="O113" s="33">
        <v>1888</v>
      </c>
      <c r="P113" s="33">
        <v>1848</v>
      </c>
      <c r="Q113">
        <f t="shared" si="5"/>
        <v>0</v>
      </c>
    </row>
    <row r="114" spans="1:17" ht="15" x14ac:dyDescent="0.25">
      <c r="A114" s="4">
        <v>45866</v>
      </c>
      <c r="B114" s="1" t="str">
        <f t="shared" si="3"/>
        <v>28/07/25 Lunes</v>
      </c>
      <c r="C114" s="1" t="s">
        <v>12</v>
      </c>
      <c r="D114">
        <v>452</v>
      </c>
      <c r="E114" s="1">
        <v>225</v>
      </c>
      <c r="F114" s="2">
        <v>222</v>
      </c>
      <c r="G114" s="2">
        <v>3</v>
      </c>
      <c r="H114" s="2">
        <v>202</v>
      </c>
      <c r="I114" s="1">
        <v>20</v>
      </c>
      <c r="K114" s="29">
        <f t="shared" si="4"/>
        <v>45960</v>
      </c>
      <c r="L114" s="27">
        <v>45960</v>
      </c>
      <c r="M114" s="33">
        <v>5377</v>
      </c>
      <c r="N114" s="33">
        <v>5683</v>
      </c>
      <c r="O114" s="33">
        <v>3825</v>
      </c>
      <c r="P114" s="33">
        <v>3591</v>
      </c>
      <c r="Q114">
        <f t="shared" si="5"/>
        <v>0</v>
      </c>
    </row>
    <row r="115" spans="1:17" ht="15" x14ac:dyDescent="0.25">
      <c r="A115" s="4">
        <v>45866</v>
      </c>
      <c r="B115" s="1" t="str">
        <f t="shared" si="3"/>
        <v>28/07/25 Lunes</v>
      </c>
      <c r="C115" s="1" t="s">
        <v>13</v>
      </c>
      <c r="D115">
        <v>926</v>
      </c>
      <c r="E115" s="1">
        <v>724</v>
      </c>
      <c r="F115" s="2">
        <v>591</v>
      </c>
      <c r="G115" s="2">
        <v>133</v>
      </c>
      <c r="H115" s="2">
        <v>585</v>
      </c>
      <c r="I115" s="1">
        <v>6</v>
      </c>
      <c r="K115" s="29">
        <f t="shared" si="4"/>
        <v>45961</v>
      </c>
      <c r="L115" s="27">
        <v>45961</v>
      </c>
      <c r="M115" s="33">
        <v>5154</v>
      </c>
      <c r="N115" s="33">
        <v>5624</v>
      </c>
      <c r="O115" s="33">
        <v>3751</v>
      </c>
      <c r="P115" s="33">
        <v>3506</v>
      </c>
      <c r="Q115">
        <f t="shared" si="5"/>
        <v>0</v>
      </c>
    </row>
    <row r="116" spans="1:17" ht="15" x14ac:dyDescent="0.25">
      <c r="A116" s="4">
        <v>45866</v>
      </c>
      <c r="B116" s="1" t="str">
        <f t="shared" si="3"/>
        <v>28/07/25 Lunes</v>
      </c>
      <c r="C116" s="1" t="s">
        <v>14</v>
      </c>
      <c r="D116">
        <v>1099</v>
      </c>
      <c r="E116" s="1">
        <v>583</v>
      </c>
      <c r="F116" s="2">
        <v>463</v>
      </c>
      <c r="G116" s="2">
        <v>120</v>
      </c>
      <c r="H116" s="2">
        <v>416</v>
      </c>
      <c r="I116" s="1">
        <v>47</v>
      </c>
      <c r="K116" s="29">
        <f t="shared" si="4"/>
        <v>45962</v>
      </c>
      <c r="L116" s="27">
        <v>45962</v>
      </c>
      <c r="M116" s="33">
        <v>2936</v>
      </c>
      <c r="N116" s="33">
        <v>3146</v>
      </c>
      <c r="O116" s="33">
        <v>2090</v>
      </c>
      <c r="P116" s="33">
        <v>1815</v>
      </c>
      <c r="Q116">
        <f t="shared" si="5"/>
        <v>0</v>
      </c>
    </row>
    <row r="117" spans="1:17" ht="15" x14ac:dyDescent="0.25">
      <c r="A117" s="4">
        <v>45866</v>
      </c>
      <c r="B117" s="1" t="str">
        <f t="shared" si="3"/>
        <v>28/07/25 Lunes</v>
      </c>
      <c r="C117" s="1" t="s">
        <v>15</v>
      </c>
      <c r="D117">
        <v>663</v>
      </c>
      <c r="E117" s="1">
        <v>222</v>
      </c>
      <c r="F117" s="2">
        <v>166</v>
      </c>
      <c r="G117" s="2">
        <v>56</v>
      </c>
      <c r="H117" s="2">
        <v>158</v>
      </c>
      <c r="I117" s="1">
        <v>8</v>
      </c>
      <c r="K117" s="29">
        <f t="shared" si="4"/>
        <v>45963</v>
      </c>
      <c r="L117" s="27">
        <v>45963</v>
      </c>
      <c r="M117" s="33">
        <v>3948</v>
      </c>
      <c r="N117" s="33">
        <v>2221</v>
      </c>
      <c r="O117" s="33">
        <v>1808</v>
      </c>
      <c r="P117" s="33">
        <v>1738</v>
      </c>
      <c r="Q117">
        <f t="shared" si="5"/>
        <v>0</v>
      </c>
    </row>
    <row r="118" spans="1:17" ht="15" x14ac:dyDescent="0.25">
      <c r="A118" s="4">
        <v>45867</v>
      </c>
      <c r="B118" s="1" t="str">
        <f t="shared" si="3"/>
        <v>29/07/25 Martes</v>
      </c>
      <c r="C118" s="1" t="s">
        <v>8</v>
      </c>
      <c r="D118">
        <v>693</v>
      </c>
      <c r="E118" s="1">
        <v>818</v>
      </c>
      <c r="F118" s="2">
        <v>488</v>
      </c>
      <c r="G118" s="2">
        <v>330</v>
      </c>
      <c r="H118" s="2">
        <v>444</v>
      </c>
      <c r="I118" s="1">
        <v>44</v>
      </c>
      <c r="K118" s="29">
        <f t="shared" si="4"/>
        <v>45964</v>
      </c>
      <c r="L118" s="27">
        <v>45964</v>
      </c>
      <c r="M118" s="33">
        <v>5494</v>
      </c>
      <c r="N118" s="33">
        <v>6157</v>
      </c>
      <c r="O118" s="33">
        <v>4087</v>
      </c>
      <c r="P118" s="33">
        <v>3744</v>
      </c>
      <c r="Q118">
        <f t="shared" si="5"/>
        <v>0</v>
      </c>
    </row>
    <row r="119" spans="1:17" ht="15" x14ac:dyDescent="0.25">
      <c r="A119" s="4">
        <v>45867</v>
      </c>
      <c r="B119" s="1" t="str">
        <f t="shared" si="3"/>
        <v>29/07/25 Martes</v>
      </c>
      <c r="C119" s="1" t="s">
        <v>9</v>
      </c>
      <c r="D119">
        <v>253</v>
      </c>
      <c r="E119" s="1">
        <v>145</v>
      </c>
      <c r="F119" s="2">
        <v>145</v>
      </c>
      <c r="G119" s="2">
        <v>0</v>
      </c>
      <c r="H119" s="2">
        <v>143</v>
      </c>
      <c r="I119" s="1">
        <v>2</v>
      </c>
      <c r="K119" s="29">
        <f t="shared" si="4"/>
        <v>45965</v>
      </c>
      <c r="L119" s="27">
        <v>45965</v>
      </c>
      <c r="M119" s="33">
        <v>5067</v>
      </c>
      <c r="N119" s="33">
        <v>5449</v>
      </c>
      <c r="O119" s="33">
        <v>3789</v>
      </c>
      <c r="P119" s="33">
        <v>3494</v>
      </c>
      <c r="Q119">
        <f t="shared" si="5"/>
        <v>0</v>
      </c>
    </row>
    <row r="120" spans="1:17" ht="15" x14ac:dyDescent="0.25">
      <c r="A120" s="4">
        <v>45867</v>
      </c>
      <c r="B120" s="1" t="str">
        <f t="shared" si="3"/>
        <v>29/07/25 Martes</v>
      </c>
      <c r="C120" s="1" t="s">
        <v>10</v>
      </c>
      <c r="D120">
        <v>945</v>
      </c>
      <c r="E120" s="1">
        <v>718</v>
      </c>
      <c r="F120" s="2">
        <v>635</v>
      </c>
      <c r="G120" s="2">
        <v>83</v>
      </c>
      <c r="H120" s="2">
        <v>622</v>
      </c>
      <c r="I120" s="1">
        <v>13</v>
      </c>
      <c r="L120" s="27">
        <v>45966</v>
      </c>
      <c r="M120" s="33">
        <v>5500</v>
      </c>
      <c r="N120" s="33">
        <v>5460</v>
      </c>
      <c r="O120" s="33">
        <v>3926</v>
      </c>
      <c r="P120" s="33">
        <v>3679</v>
      </c>
    </row>
    <row r="121" spans="1:17" ht="15" x14ac:dyDescent="0.25">
      <c r="A121" s="4">
        <v>45867</v>
      </c>
      <c r="B121" s="1" t="str">
        <f t="shared" si="3"/>
        <v>29/07/25 Martes</v>
      </c>
      <c r="C121" s="1" t="s">
        <v>11</v>
      </c>
      <c r="D121">
        <v>832</v>
      </c>
      <c r="E121" s="1">
        <v>1198</v>
      </c>
      <c r="F121" s="2">
        <v>1167</v>
      </c>
      <c r="G121" s="2">
        <v>31</v>
      </c>
      <c r="H121" s="2">
        <v>1155</v>
      </c>
      <c r="I121" s="1">
        <v>12</v>
      </c>
      <c r="L121" s="27">
        <v>45967</v>
      </c>
      <c r="M121" s="33">
        <v>5031</v>
      </c>
      <c r="N121" s="33">
        <v>6233</v>
      </c>
      <c r="O121" s="33">
        <v>4356</v>
      </c>
      <c r="P121" s="33">
        <v>3984</v>
      </c>
    </row>
    <row r="122" spans="1:17" ht="15" x14ac:dyDescent="0.25">
      <c r="A122" s="4">
        <v>45867</v>
      </c>
      <c r="B122" s="1" t="str">
        <f t="shared" si="3"/>
        <v>29/07/25 Martes</v>
      </c>
      <c r="C122" s="1" t="s">
        <v>12</v>
      </c>
      <c r="D122">
        <v>935</v>
      </c>
      <c r="E122" s="1">
        <v>724</v>
      </c>
      <c r="F122" s="2">
        <v>433</v>
      </c>
      <c r="G122" s="2">
        <v>291</v>
      </c>
      <c r="H122" s="2">
        <v>404</v>
      </c>
      <c r="I122" s="1">
        <v>29</v>
      </c>
      <c r="L122" s="27">
        <v>45968</v>
      </c>
      <c r="M122" s="33">
        <v>5530</v>
      </c>
      <c r="N122" s="33">
        <v>5425</v>
      </c>
      <c r="O122" s="33">
        <v>4299</v>
      </c>
      <c r="P122" s="33">
        <v>3989</v>
      </c>
    </row>
    <row r="123" spans="1:17" ht="15" x14ac:dyDescent="0.25">
      <c r="A123" s="4">
        <v>45867</v>
      </c>
      <c r="B123" s="1" t="str">
        <f t="shared" si="3"/>
        <v>29/07/25 Martes</v>
      </c>
      <c r="C123" s="1" t="s">
        <v>13</v>
      </c>
      <c r="D123">
        <v>480</v>
      </c>
      <c r="E123" s="1">
        <v>1432</v>
      </c>
      <c r="F123" s="2">
        <v>752</v>
      </c>
      <c r="G123" s="2">
        <v>680</v>
      </c>
      <c r="H123" s="2">
        <v>723</v>
      </c>
      <c r="I123" s="1">
        <v>29</v>
      </c>
      <c r="L123" s="27">
        <v>45969</v>
      </c>
      <c r="M123" s="33">
        <v>2939</v>
      </c>
      <c r="N123" s="33">
        <v>3031</v>
      </c>
      <c r="O123" s="33">
        <v>2055</v>
      </c>
      <c r="P123" s="33">
        <v>1864</v>
      </c>
    </row>
    <row r="124" spans="1:17" ht="15" x14ac:dyDescent="0.25">
      <c r="A124" s="4">
        <v>45867</v>
      </c>
      <c r="B124" s="1" t="str">
        <f t="shared" si="3"/>
        <v>29/07/25 Martes</v>
      </c>
      <c r="C124" s="1" t="s">
        <v>14</v>
      </c>
      <c r="D124">
        <v>286</v>
      </c>
      <c r="E124" s="1">
        <v>967</v>
      </c>
      <c r="F124" s="2">
        <v>597</v>
      </c>
      <c r="G124" s="2">
        <v>370</v>
      </c>
      <c r="H124" s="2">
        <v>531</v>
      </c>
      <c r="I124" s="1">
        <v>66</v>
      </c>
      <c r="L124" s="27">
        <v>45970</v>
      </c>
      <c r="M124" s="33">
        <v>3909</v>
      </c>
      <c r="N124" s="33">
        <v>3001</v>
      </c>
      <c r="O124" s="33">
        <v>2043</v>
      </c>
      <c r="P124" s="33">
        <v>1986</v>
      </c>
    </row>
    <row r="125" spans="1:17" ht="15" x14ac:dyDescent="0.25">
      <c r="A125" s="4">
        <v>45867</v>
      </c>
      <c r="B125" s="1" t="str">
        <f t="shared" si="3"/>
        <v>29/07/25 Martes</v>
      </c>
      <c r="C125" s="1" t="s">
        <v>15</v>
      </c>
      <c r="D125">
        <v>737</v>
      </c>
      <c r="E125" s="1">
        <v>1339</v>
      </c>
      <c r="F125" s="2">
        <v>721</v>
      </c>
      <c r="G125" s="2">
        <v>618</v>
      </c>
      <c r="H125" s="2">
        <v>657</v>
      </c>
      <c r="I125" s="1">
        <v>64</v>
      </c>
      <c r="L125" s="27">
        <v>45971</v>
      </c>
      <c r="M125" s="33">
        <v>5314</v>
      </c>
      <c r="N125" s="33">
        <v>5997</v>
      </c>
      <c r="O125" s="33">
        <v>3682</v>
      </c>
      <c r="P125" s="33">
        <v>3449</v>
      </c>
    </row>
    <row r="126" spans="1:17" ht="15" x14ac:dyDescent="0.25">
      <c r="A126" s="4">
        <v>45868</v>
      </c>
      <c r="B126" s="1" t="str">
        <f t="shared" si="3"/>
        <v>30/07/25 Miércoles</v>
      </c>
      <c r="C126" s="1" t="s">
        <v>8</v>
      </c>
      <c r="D126">
        <v>694</v>
      </c>
      <c r="E126" s="1">
        <v>1467</v>
      </c>
      <c r="F126" s="2">
        <v>693</v>
      </c>
      <c r="G126" s="2">
        <v>774</v>
      </c>
      <c r="H126" s="2">
        <v>644</v>
      </c>
      <c r="I126" s="1">
        <v>49</v>
      </c>
      <c r="L126" s="27">
        <v>45972</v>
      </c>
      <c r="M126" s="33">
        <v>5377</v>
      </c>
      <c r="N126" s="33">
        <v>5402</v>
      </c>
      <c r="O126" s="33">
        <v>3709</v>
      </c>
      <c r="P126" s="33">
        <v>3490</v>
      </c>
    </row>
    <row r="127" spans="1:17" ht="15" x14ac:dyDescent="0.25">
      <c r="A127" s="4">
        <v>45868</v>
      </c>
      <c r="B127" s="1" t="str">
        <f t="shared" si="3"/>
        <v>30/07/25 Miércoles</v>
      </c>
      <c r="C127" s="1" t="s">
        <v>9</v>
      </c>
      <c r="D127">
        <v>48</v>
      </c>
      <c r="E127" s="1">
        <v>157</v>
      </c>
      <c r="F127" s="2">
        <v>157</v>
      </c>
      <c r="G127" s="2">
        <v>0</v>
      </c>
      <c r="H127" s="2">
        <v>157</v>
      </c>
      <c r="I127" s="1">
        <v>0</v>
      </c>
      <c r="L127" s="27">
        <v>45973</v>
      </c>
      <c r="M127" s="33">
        <v>5278</v>
      </c>
      <c r="N127" s="33">
        <v>4956</v>
      </c>
      <c r="O127" s="33">
        <v>3512</v>
      </c>
      <c r="P127" s="33">
        <v>3257</v>
      </c>
    </row>
    <row r="128" spans="1:17" ht="15" x14ac:dyDescent="0.25">
      <c r="A128" s="4">
        <v>45868</v>
      </c>
      <c r="B128" s="1" t="str">
        <f t="shared" si="3"/>
        <v>30/07/25 Miércoles</v>
      </c>
      <c r="C128" s="1" t="s">
        <v>10</v>
      </c>
      <c r="D128">
        <v>697</v>
      </c>
      <c r="E128" s="1">
        <v>1208</v>
      </c>
      <c r="F128" s="2">
        <v>1030</v>
      </c>
      <c r="G128" s="2">
        <v>178</v>
      </c>
      <c r="H128" s="2">
        <v>1005</v>
      </c>
      <c r="I128" s="1">
        <v>25</v>
      </c>
      <c r="L128" s="27" t="s">
        <v>49</v>
      </c>
      <c r="M128" s="33"/>
      <c r="N128" s="33"/>
      <c r="O128" s="33"/>
      <c r="P128" s="33"/>
    </row>
    <row r="129" spans="1:16" ht="15" x14ac:dyDescent="0.25">
      <c r="A129" s="4">
        <v>45868</v>
      </c>
      <c r="B129" s="1" t="str">
        <f t="shared" si="3"/>
        <v>30/07/25 Miércoles</v>
      </c>
      <c r="C129" s="1" t="s">
        <v>11</v>
      </c>
      <c r="D129">
        <v>951</v>
      </c>
      <c r="E129" s="1">
        <v>655</v>
      </c>
      <c r="F129" s="2">
        <v>655</v>
      </c>
      <c r="G129" s="2">
        <v>0</v>
      </c>
      <c r="H129" s="2">
        <v>652</v>
      </c>
      <c r="I129" s="1">
        <v>3</v>
      </c>
      <c r="L129" s="27" t="s">
        <v>30</v>
      </c>
      <c r="M129" s="33">
        <v>583346</v>
      </c>
      <c r="N129" s="33">
        <v>654053</v>
      </c>
      <c r="O129" s="33">
        <v>499106</v>
      </c>
      <c r="P129" s="33">
        <v>466272</v>
      </c>
    </row>
    <row r="130" spans="1:16" ht="15" x14ac:dyDescent="0.25">
      <c r="A130" s="4">
        <v>45868</v>
      </c>
      <c r="B130" s="1" t="str">
        <f t="shared" si="3"/>
        <v>30/07/25 Miércoles</v>
      </c>
      <c r="C130" s="1" t="s">
        <v>12</v>
      </c>
      <c r="D130">
        <v>452</v>
      </c>
      <c r="E130" s="1">
        <v>976</v>
      </c>
      <c r="F130" s="2">
        <v>536</v>
      </c>
      <c r="G130" s="2">
        <v>440</v>
      </c>
      <c r="H130" s="2">
        <v>491</v>
      </c>
      <c r="I130" s="1">
        <v>45</v>
      </c>
    </row>
    <row r="131" spans="1:16" ht="15" x14ac:dyDescent="0.25">
      <c r="A131" s="4">
        <v>45868</v>
      </c>
      <c r="B131" s="1" t="str">
        <f t="shared" ref="B131:B194" si="6">PROPER(TEXT(A131,"[$-es-ES]dd/mm/yy dddd"))</f>
        <v>30/07/25 Miércoles</v>
      </c>
      <c r="C131" s="1" t="s">
        <v>13</v>
      </c>
      <c r="D131">
        <v>890</v>
      </c>
      <c r="E131" s="1">
        <v>1034</v>
      </c>
      <c r="F131" s="2">
        <v>853</v>
      </c>
      <c r="G131" s="2">
        <v>181</v>
      </c>
      <c r="H131" s="2">
        <v>828</v>
      </c>
      <c r="I131" s="1">
        <v>25</v>
      </c>
    </row>
    <row r="132" spans="1:16" ht="15" x14ac:dyDescent="0.25">
      <c r="A132" s="4">
        <v>45868</v>
      </c>
      <c r="B132" s="1" t="str">
        <f t="shared" si="6"/>
        <v>30/07/25 Miércoles</v>
      </c>
      <c r="C132" s="1" t="s">
        <v>14</v>
      </c>
      <c r="D132">
        <v>1099</v>
      </c>
      <c r="E132" s="1">
        <v>862</v>
      </c>
      <c r="F132" s="2">
        <v>414</v>
      </c>
      <c r="G132" s="2">
        <v>448</v>
      </c>
      <c r="H132" s="2">
        <v>390</v>
      </c>
      <c r="I132" s="1">
        <v>24</v>
      </c>
    </row>
    <row r="133" spans="1:16" ht="15" x14ac:dyDescent="0.25">
      <c r="A133" s="4">
        <v>45868</v>
      </c>
      <c r="B133" s="1" t="str">
        <f t="shared" si="6"/>
        <v>30/07/25 Miércoles</v>
      </c>
      <c r="C133" s="1" t="s">
        <v>15</v>
      </c>
      <c r="D133">
        <v>663</v>
      </c>
      <c r="E133" s="1">
        <v>701</v>
      </c>
      <c r="F133" s="2">
        <v>375</v>
      </c>
      <c r="G133" s="2">
        <v>326</v>
      </c>
      <c r="H133" s="2">
        <v>347</v>
      </c>
      <c r="I133" s="1">
        <v>28</v>
      </c>
    </row>
    <row r="134" spans="1:16" ht="15" x14ac:dyDescent="0.25">
      <c r="A134" s="4">
        <v>45869</v>
      </c>
      <c r="B134" s="1" t="str">
        <f t="shared" si="6"/>
        <v>31/07/25 Jueves</v>
      </c>
      <c r="C134" s="1" t="s">
        <v>8</v>
      </c>
      <c r="D134">
        <v>693</v>
      </c>
      <c r="E134" s="1">
        <v>891</v>
      </c>
      <c r="F134" s="2">
        <v>556</v>
      </c>
      <c r="G134" s="2">
        <v>335</v>
      </c>
      <c r="H134" s="2">
        <v>507</v>
      </c>
      <c r="I134" s="1">
        <v>49</v>
      </c>
    </row>
    <row r="135" spans="1:16" ht="15" x14ac:dyDescent="0.25">
      <c r="A135" s="4">
        <v>45869</v>
      </c>
      <c r="B135" s="1" t="str">
        <f t="shared" si="6"/>
        <v>31/07/25 Jueves</v>
      </c>
      <c r="C135" s="1" t="s">
        <v>9</v>
      </c>
      <c r="D135">
        <v>253</v>
      </c>
      <c r="E135" s="1">
        <v>144</v>
      </c>
      <c r="F135" s="2">
        <v>144</v>
      </c>
      <c r="G135" s="2">
        <v>0</v>
      </c>
      <c r="H135" s="2">
        <v>143</v>
      </c>
      <c r="I135" s="1">
        <v>1</v>
      </c>
    </row>
    <row r="136" spans="1:16" ht="15" x14ac:dyDescent="0.25">
      <c r="A136" s="4">
        <v>45869</v>
      </c>
      <c r="B136" s="1" t="str">
        <f t="shared" si="6"/>
        <v>31/07/25 Jueves</v>
      </c>
      <c r="C136" s="1" t="s">
        <v>10</v>
      </c>
      <c r="D136">
        <v>945</v>
      </c>
      <c r="E136" s="1">
        <v>623</v>
      </c>
      <c r="F136" s="2">
        <v>604</v>
      </c>
      <c r="G136" s="2">
        <v>19</v>
      </c>
      <c r="H136" s="2">
        <v>595</v>
      </c>
      <c r="I136" s="1">
        <v>9</v>
      </c>
    </row>
    <row r="137" spans="1:16" ht="15" x14ac:dyDescent="0.25">
      <c r="A137" s="4">
        <v>45869</v>
      </c>
      <c r="B137" s="1" t="str">
        <f t="shared" si="6"/>
        <v>31/07/25 Jueves</v>
      </c>
      <c r="C137" s="1" t="s">
        <v>11</v>
      </c>
      <c r="D137">
        <v>832</v>
      </c>
      <c r="E137" s="1">
        <v>1155</v>
      </c>
      <c r="F137" s="2">
        <v>1137</v>
      </c>
      <c r="G137" s="2">
        <v>18</v>
      </c>
      <c r="H137" s="2">
        <v>1128</v>
      </c>
      <c r="I137" s="1">
        <v>9</v>
      </c>
    </row>
    <row r="138" spans="1:16" ht="15" x14ac:dyDescent="0.25">
      <c r="A138" s="4">
        <v>45869</v>
      </c>
      <c r="B138" s="1" t="str">
        <f t="shared" si="6"/>
        <v>31/07/25 Jueves</v>
      </c>
      <c r="C138" s="1" t="s">
        <v>12</v>
      </c>
      <c r="D138">
        <v>935</v>
      </c>
      <c r="E138" s="1">
        <v>962</v>
      </c>
      <c r="F138" s="2">
        <v>695</v>
      </c>
      <c r="G138" s="2">
        <v>267</v>
      </c>
      <c r="H138" s="2">
        <v>576</v>
      </c>
      <c r="I138" s="1">
        <v>119</v>
      </c>
    </row>
    <row r="139" spans="1:16" ht="15" x14ac:dyDescent="0.25">
      <c r="A139" s="4">
        <v>45869</v>
      </c>
      <c r="B139" s="1" t="str">
        <f t="shared" si="6"/>
        <v>31/07/25 Jueves</v>
      </c>
      <c r="C139" s="1" t="s">
        <v>13</v>
      </c>
      <c r="D139">
        <v>510</v>
      </c>
      <c r="E139" s="1">
        <v>505</v>
      </c>
      <c r="F139" s="2">
        <v>487</v>
      </c>
      <c r="G139" s="2">
        <v>18</v>
      </c>
      <c r="H139" s="2">
        <v>462</v>
      </c>
      <c r="I139" s="1">
        <v>25</v>
      </c>
    </row>
    <row r="140" spans="1:16" ht="15" x14ac:dyDescent="0.25">
      <c r="A140" s="4">
        <v>45869</v>
      </c>
      <c r="B140" s="1" t="str">
        <f t="shared" si="6"/>
        <v>31/07/25 Jueves</v>
      </c>
      <c r="C140" s="1" t="s">
        <v>14</v>
      </c>
      <c r="D140">
        <v>286</v>
      </c>
      <c r="E140" s="1">
        <v>1219</v>
      </c>
      <c r="F140" s="2">
        <v>830</v>
      </c>
      <c r="G140" s="2">
        <v>389</v>
      </c>
      <c r="H140" s="2">
        <v>743</v>
      </c>
      <c r="I140" s="1">
        <v>87</v>
      </c>
    </row>
    <row r="141" spans="1:16" ht="15" x14ac:dyDescent="0.25">
      <c r="A141" s="4">
        <v>45869</v>
      </c>
      <c r="B141" s="1" t="str">
        <f t="shared" si="6"/>
        <v>31/07/25 Jueves</v>
      </c>
      <c r="C141" s="1" t="s">
        <v>15</v>
      </c>
      <c r="D141">
        <v>737</v>
      </c>
      <c r="E141" s="1">
        <v>735</v>
      </c>
      <c r="F141" s="2">
        <v>660</v>
      </c>
      <c r="G141" s="2">
        <v>75</v>
      </c>
      <c r="H141" s="2">
        <v>606</v>
      </c>
      <c r="I141" s="1">
        <v>54</v>
      </c>
    </row>
    <row r="142" spans="1:16" ht="15" x14ac:dyDescent="0.25">
      <c r="A142" s="4">
        <v>45870</v>
      </c>
      <c r="B142" s="1" t="str">
        <f t="shared" si="6"/>
        <v>01/08/25 Viernes</v>
      </c>
      <c r="C142" s="1" t="s">
        <v>8</v>
      </c>
      <c r="D142">
        <v>694</v>
      </c>
      <c r="E142" s="1">
        <v>895</v>
      </c>
      <c r="F142" s="2">
        <v>759</v>
      </c>
      <c r="G142" s="2">
        <v>136</v>
      </c>
      <c r="H142" s="2">
        <v>720</v>
      </c>
      <c r="I142" s="1">
        <v>39</v>
      </c>
    </row>
    <row r="143" spans="1:16" ht="15" x14ac:dyDescent="0.25">
      <c r="A143" s="4">
        <v>45870</v>
      </c>
      <c r="B143" s="1" t="str">
        <f t="shared" si="6"/>
        <v>01/08/25 Viernes</v>
      </c>
      <c r="C143" s="1" t="s">
        <v>9</v>
      </c>
      <c r="D143">
        <v>48</v>
      </c>
      <c r="E143" s="1">
        <v>157</v>
      </c>
      <c r="F143" s="2">
        <v>157</v>
      </c>
      <c r="G143" s="2">
        <v>0</v>
      </c>
      <c r="H143" s="2">
        <v>155</v>
      </c>
      <c r="I143" s="1">
        <v>2</v>
      </c>
    </row>
    <row r="144" spans="1:16" ht="15" x14ac:dyDescent="0.25">
      <c r="A144" s="4">
        <v>45870</v>
      </c>
      <c r="B144" s="1" t="str">
        <f t="shared" si="6"/>
        <v>01/08/25 Viernes</v>
      </c>
      <c r="C144" s="1" t="s">
        <v>10</v>
      </c>
      <c r="D144">
        <v>697</v>
      </c>
      <c r="E144" s="1">
        <v>1053</v>
      </c>
      <c r="F144" s="2">
        <v>931</v>
      </c>
      <c r="G144" s="2">
        <v>122</v>
      </c>
      <c r="H144" s="2">
        <v>918</v>
      </c>
      <c r="I144" s="1">
        <v>13</v>
      </c>
    </row>
    <row r="145" spans="1:9" ht="15" x14ac:dyDescent="0.25">
      <c r="A145" s="4">
        <v>45870</v>
      </c>
      <c r="B145" s="1" t="str">
        <f t="shared" si="6"/>
        <v>01/08/25 Viernes</v>
      </c>
      <c r="C145" s="1" t="s">
        <v>11</v>
      </c>
      <c r="D145">
        <v>951</v>
      </c>
      <c r="E145" s="1">
        <v>667</v>
      </c>
      <c r="F145" s="2">
        <v>667</v>
      </c>
      <c r="G145" s="2">
        <v>0</v>
      </c>
      <c r="H145" s="2">
        <v>657</v>
      </c>
      <c r="I145" s="1">
        <v>10</v>
      </c>
    </row>
    <row r="146" spans="1:9" ht="15" x14ac:dyDescent="0.25">
      <c r="A146" s="4">
        <v>45870</v>
      </c>
      <c r="B146" s="1" t="str">
        <f t="shared" si="6"/>
        <v>01/08/25 Viernes</v>
      </c>
      <c r="C146" s="1" t="s">
        <v>12</v>
      </c>
      <c r="D146">
        <v>452</v>
      </c>
      <c r="E146" s="1">
        <v>772</v>
      </c>
      <c r="F146" s="2">
        <v>618</v>
      </c>
      <c r="G146" s="2">
        <v>154</v>
      </c>
      <c r="H146" s="2">
        <v>512</v>
      </c>
      <c r="I146" s="1">
        <v>106</v>
      </c>
    </row>
    <row r="147" spans="1:9" ht="15" x14ac:dyDescent="0.25">
      <c r="A147" s="4">
        <v>45870</v>
      </c>
      <c r="B147" s="1" t="str">
        <f t="shared" si="6"/>
        <v>01/08/25 Viernes</v>
      </c>
      <c r="C147" s="1" t="s">
        <v>13</v>
      </c>
      <c r="D147">
        <v>896</v>
      </c>
      <c r="E147" s="1">
        <v>1153</v>
      </c>
      <c r="F147" s="2">
        <v>976</v>
      </c>
      <c r="G147" s="2">
        <v>177</v>
      </c>
      <c r="H147" s="2">
        <v>945</v>
      </c>
      <c r="I147" s="1">
        <v>31</v>
      </c>
    </row>
    <row r="148" spans="1:9" ht="15" x14ac:dyDescent="0.25">
      <c r="A148" s="4">
        <v>45870</v>
      </c>
      <c r="B148" s="1" t="str">
        <f t="shared" si="6"/>
        <v>01/08/25 Viernes</v>
      </c>
      <c r="C148" s="1" t="s">
        <v>14</v>
      </c>
      <c r="D148">
        <v>1099</v>
      </c>
      <c r="E148" s="1">
        <v>819</v>
      </c>
      <c r="F148" s="2">
        <v>504</v>
      </c>
      <c r="G148" s="2">
        <v>315</v>
      </c>
      <c r="H148" s="2">
        <v>453</v>
      </c>
      <c r="I148" s="1">
        <v>51</v>
      </c>
    </row>
    <row r="149" spans="1:9" ht="15" x14ac:dyDescent="0.25">
      <c r="A149" s="4">
        <v>45870</v>
      </c>
      <c r="B149" s="1" t="str">
        <f t="shared" si="6"/>
        <v>01/08/25 Viernes</v>
      </c>
      <c r="C149" s="1" t="s">
        <v>15</v>
      </c>
      <c r="D149">
        <v>663</v>
      </c>
      <c r="E149" s="1">
        <v>902</v>
      </c>
      <c r="F149" s="2">
        <v>678</v>
      </c>
      <c r="G149" s="2">
        <v>224</v>
      </c>
      <c r="H149" s="2">
        <v>628</v>
      </c>
      <c r="I149" s="1">
        <v>50</v>
      </c>
    </row>
    <row r="150" spans="1:9" ht="15" x14ac:dyDescent="0.25">
      <c r="A150" s="4">
        <v>45871</v>
      </c>
      <c r="B150" s="1" t="str">
        <f t="shared" si="6"/>
        <v>02/08/25 Sábado</v>
      </c>
      <c r="C150" s="1" t="s">
        <v>8</v>
      </c>
      <c r="D150">
        <v>693</v>
      </c>
      <c r="E150" s="1">
        <v>1280</v>
      </c>
      <c r="F150" s="2">
        <v>699</v>
      </c>
      <c r="G150" s="2">
        <v>581</v>
      </c>
      <c r="H150" s="2">
        <v>637</v>
      </c>
      <c r="I150" s="1">
        <v>62</v>
      </c>
    </row>
    <row r="151" spans="1:9" ht="15" x14ac:dyDescent="0.25">
      <c r="A151" s="4">
        <v>45871</v>
      </c>
      <c r="B151" s="1" t="str">
        <f t="shared" si="6"/>
        <v>02/08/25 Sábado</v>
      </c>
      <c r="C151" s="1" t="s">
        <v>10</v>
      </c>
      <c r="D151">
        <v>0</v>
      </c>
      <c r="E151" s="1">
        <v>216</v>
      </c>
      <c r="F151" s="2">
        <v>109</v>
      </c>
      <c r="G151" s="2">
        <v>107</v>
      </c>
      <c r="H151" s="2">
        <v>108</v>
      </c>
      <c r="I151" s="1">
        <v>1</v>
      </c>
    </row>
    <row r="152" spans="1:9" ht="15" x14ac:dyDescent="0.25">
      <c r="A152" s="4">
        <v>45871</v>
      </c>
      <c r="B152" s="1" t="str">
        <f t="shared" si="6"/>
        <v>02/08/25 Sábado</v>
      </c>
      <c r="C152" s="1" t="s">
        <v>12</v>
      </c>
      <c r="D152">
        <v>935</v>
      </c>
      <c r="E152" s="1">
        <v>1107</v>
      </c>
      <c r="F152" s="2">
        <v>678</v>
      </c>
      <c r="G152" s="2">
        <v>429</v>
      </c>
      <c r="H152" s="2">
        <v>603</v>
      </c>
      <c r="I152" s="1">
        <v>75</v>
      </c>
    </row>
    <row r="153" spans="1:9" ht="15" x14ac:dyDescent="0.25">
      <c r="A153" s="4">
        <v>45871</v>
      </c>
      <c r="B153" s="1" t="str">
        <f t="shared" si="6"/>
        <v>02/08/25 Sábado</v>
      </c>
      <c r="C153" s="1" t="s">
        <v>13</v>
      </c>
      <c r="D153">
        <v>288</v>
      </c>
      <c r="E153" s="1">
        <v>304</v>
      </c>
      <c r="F153" s="2">
        <v>179</v>
      </c>
      <c r="G153" s="2">
        <v>125</v>
      </c>
      <c r="H153" s="2">
        <v>166</v>
      </c>
      <c r="I153" s="1">
        <v>13</v>
      </c>
    </row>
    <row r="154" spans="1:9" ht="15" x14ac:dyDescent="0.25">
      <c r="A154" s="4">
        <v>45871</v>
      </c>
      <c r="B154" s="1" t="str">
        <f t="shared" si="6"/>
        <v>02/08/25 Sábado</v>
      </c>
      <c r="C154" s="1" t="s">
        <v>14</v>
      </c>
      <c r="D154">
        <v>286</v>
      </c>
      <c r="E154" s="1">
        <v>778</v>
      </c>
      <c r="F154" s="2">
        <v>557</v>
      </c>
      <c r="G154" s="2">
        <v>221</v>
      </c>
      <c r="H154" s="2">
        <v>514</v>
      </c>
      <c r="I154" s="1">
        <v>43</v>
      </c>
    </row>
    <row r="155" spans="1:9" ht="15" x14ac:dyDescent="0.25">
      <c r="A155" s="4">
        <v>45871</v>
      </c>
      <c r="B155" s="1" t="str">
        <f t="shared" si="6"/>
        <v>02/08/25 Sábado</v>
      </c>
      <c r="C155" s="1" t="s">
        <v>15</v>
      </c>
      <c r="D155">
        <v>737</v>
      </c>
      <c r="E155" s="1">
        <v>599</v>
      </c>
      <c r="F155" s="2">
        <v>525</v>
      </c>
      <c r="G155" s="2">
        <v>74</v>
      </c>
      <c r="H155" s="2">
        <v>481</v>
      </c>
      <c r="I155" s="1">
        <v>44</v>
      </c>
    </row>
    <row r="156" spans="1:9" ht="15" x14ac:dyDescent="0.25">
      <c r="A156" s="4">
        <v>45872</v>
      </c>
      <c r="B156" s="1" t="str">
        <f t="shared" si="6"/>
        <v>03/08/25 Domingo</v>
      </c>
      <c r="C156" s="1" t="s">
        <v>8</v>
      </c>
      <c r="D156">
        <v>138</v>
      </c>
      <c r="E156" s="1">
        <v>238</v>
      </c>
      <c r="F156" s="2">
        <v>190</v>
      </c>
      <c r="G156" s="2">
        <v>48</v>
      </c>
      <c r="H156" s="2">
        <v>169</v>
      </c>
      <c r="I156" s="1">
        <v>21</v>
      </c>
    </row>
    <row r="157" spans="1:9" ht="15" x14ac:dyDescent="0.25">
      <c r="A157" s="4">
        <v>45872</v>
      </c>
      <c r="B157" s="1" t="str">
        <f t="shared" si="6"/>
        <v>03/08/25 Domingo</v>
      </c>
      <c r="C157" s="1" t="s">
        <v>9</v>
      </c>
      <c r="D157">
        <v>301</v>
      </c>
      <c r="E157" s="1">
        <v>255</v>
      </c>
      <c r="F157" s="2">
        <v>194</v>
      </c>
      <c r="G157" s="2">
        <v>61</v>
      </c>
      <c r="H157" s="2">
        <v>193</v>
      </c>
      <c r="I157" s="1">
        <v>1</v>
      </c>
    </row>
    <row r="158" spans="1:9" ht="15" x14ac:dyDescent="0.25">
      <c r="A158" s="4">
        <v>45872</v>
      </c>
      <c r="B158" s="1" t="str">
        <f t="shared" si="6"/>
        <v>03/08/25 Domingo</v>
      </c>
      <c r="C158" s="1" t="s">
        <v>10</v>
      </c>
      <c r="D158">
        <v>945</v>
      </c>
      <c r="E158" s="1">
        <v>780</v>
      </c>
      <c r="F158" s="2">
        <v>676</v>
      </c>
      <c r="G158" s="2">
        <v>104</v>
      </c>
      <c r="H158" s="2">
        <v>660</v>
      </c>
      <c r="I158" s="1">
        <v>16</v>
      </c>
    </row>
    <row r="159" spans="1:9" ht="15" x14ac:dyDescent="0.25">
      <c r="A159" s="4">
        <v>45872</v>
      </c>
      <c r="B159" s="1" t="str">
        <f t="shared" si="6"/>
        <v>03/08/25 Domingo</v>
      </c>
      <c r="C159" s="1" t="s">
        <v>11</v>
      </c>
      <c r="D159">
        <v>1783</v>
      </c>
      <c r="E159" s="1">
        <v>1158</v>
      </c>
      <c r="F159" s="2">
        <v>1142</v>
      </c>
      <c r="G159" s="2">
        <v>16</v>
      </c>
      <c r="H159" s="2">
        <v>1131</v>
      </c>
      <c r="I159" s="1">
        <v>11</v>
      </c>
    </row>
    <row r="160" spans="1:9" ht="15" x14ac:dyDescent="0.25">
      <c r="A160" s="4">
        <v>45872</v>
      </c>
      <c r="B160" s="1" t="str">
        <f t="shared" si="6"/>
        <v>03/08/25 Domingo</v>
      </c>
      <c r="C160" s="1" t="s">
        <v>12</v>
      </c>
      <c r="D160">
        <v>452</v>
      </c>
      <c r="E160" s="1">
        <v>536</v>
      </c>
      <c r="F160" s="2">
        <v>481</v>
      </c>
      <c r="G160" s="2">
        <v>55</v>
      </c>
      <c r="H160" s="2">
        <v>456</v>
      </c>
      <c r="I160" s="1">
        <v>25</v>
      </c>
    </row>
    <row r="161" spans="1:9" ht="15" x14ac:dyDescent="0.25">
      <c r="A161" s="4">
        <v>45872</v>
      </c>
      <c r="B161" s="1" t="str">
        <f t="shared" si="6"/>
        <v>03/08/25 Domingo</v>
      </c>
      <c r="C161" s="1" t="s">
        <v>13</v>
      </c>
      <c r="D161">
        <v>444</v>
      </c>
      <c r="E161" s="1">
        <v>513</v>
      </c>
      <c r="F161" s="2">
        <v>460</v>
      </c>
      <c r="G161" s="2">
        <v>53</v>
      </c>
      <c r="H161" s="2">
        <v>432</v>
      </c>
      <c r="I161" s="1">
        <v>28</v>
      </c>
    </row>
    <row r="162" spans="1:9" ht="15" x14ac:dyDescent="0.25">
      <c r="A162" s="4">
        <v>45872</v>
      </c>
      <c r="B162" s="1" t="str">
        <f t="shared" si="6"/>
        <v>03/08/25 Domingo</v>
      </c>
      <c r="C162" s="1" t="s">
        <v>14</v>
      </c>
      <c r="D162">
        <v>0</v>
      </c>
      <c r="E162" s="1">
        <v>334</v>
      </c>
      <c r="F162" s="2">
        <v>287</v>
      </c>
      <c r="G162" s="2">
        <v>47</v>
      </c>
      <c r="H162" s="2">
        <v>250</v>
      </c>
      <c r="I162" s="1">
        <v>37</v>
      </c>
    </row>
    <row r="163" spans="1:9" ht="15" x14ac:dyDescent="0.25">
      <c r="A163" s="4">
        <v>45872</v>
      </c>
      <c r="B163" s="1" t="str">
        <f t="shared" si="6"/>
        <v>03/08/25 Domingo</v>
      </c>
      <c r="C163" s="1" t="s">
        <v>15</v>
      </c>
      <c r="D163">
        <v>0</v>
      </c>
      <c r="E163" s="1">
        <v>304</v>
      </c>
      <c r="F163" s="2">
        <v>281</v>
      </c>
      <c r="G163" s="2">
        <v>23</v>
      </c>
      <c r="H163" s="2">
        <v>277</v>
      </c>
      <c r="I163" s="1">
        <v>4</v>
      </c>
    </row>
    <row r="164" spans="1:9" ht="15" x14ac:dyDescent="0.25">
      <c r="A164" s="4">
        <v>45873</v>
      </c>
      <c r="B164" s="1" t="str">
        <f t="shared" si="6"/>
        <v>04/08/25 Lunes</v>
      </c>
      <c r="C164" s="1" t="s">
        <v>8</v>
      </c>
      <c r="D164">
        <v>697</v>
      </c>
      <c r="E164" s="1">
        <v>1378</v>
      </c>
      <c r="F164" s="2">
        <v>682</v>
      </c>
      <c r="G164" s="2">
        <v>696</v>
      </c>
      <c r="H164" s="2">
        <v>649</v>
      </c>
      <c r="I164" s="1">
        <v>33</v>
      </c>
    </row>
    <row r="165" spans="1:9" ht="15" x14ac:dyDescent="0.25">
      <c r="A165" s="4">
        <v>45873</v>
      </c>
      <c r="B165" s="1" t="str">
        <f t="shared" si="6"/>
        <v>04/08/25 Lunes</v>
      </c>
      <c r="C165" s="1" t="s">
        <v>9</v>
      </c>
      <c r="D165">
        <v>48</v>
      </c>
      <c r="E165" s="1">
        <v>109</v>
      </c>
      <c r="F165" s="2">
        <v>109</v>
      </c>
      <c r="G165" s="2">
        <v>0</v>
      </c>
      <c r="H165" s="2">
        <v>109</v>
      </c>
      <c r="I165" s="1">
        <v>0</v>
      </c>
    </row>
    <row r="166" spans="1:9" ht="15" x14ac:dyDescent="0.25">
      <c r="A166" s="4">
        <v>45873</v>
      </c>
      <c r="B166" s="1" t="str">
        <f t="shared" si="6"/>
        <v>04/08/25 Lunes</v>
      </c>
      <c r="C166" s="1" t="s">
        <v>10</v>
      </c>
      <c r="D166">
        <v>697</v>
      </c>
      <c r="E166" s="1">
        <v>1043</v>
      </c>
      <c r="F166" s="2">
        <v>874</v>
      </c>
      <c r="G166" s="2">
        <v>169</v>
      </c>
      <c r="H166" s="2">
        <v>845</v>
      </c>
      <c r="I166" s="1">
        <v>29</v>
      </c>
    </row>
    <row r="167" spans="1:9" ht="15" x14ac:dyDescent="0.25">
      <c r="A167" s="4">
        <v>45873</v>
      </c>
      <c r="B167" s="1" t="str">
        <f t="shared" si="6"/>
        <v>04/08/25 Lunes</v>
      </c>
      <c r="C167" s="1" t="s">
        <v>11</v>
      </c>
      <c r="D167">
        <v>832</v>
      </c>
      <c r="E167" s="1">
        <v>667</v>
      </c>
      <c r="F167" s="2">
        <v>666</v>
      </c>
      <c r="G167" s="2">
        <v>1</v>
      </c>
      <c r="H167" s="2">
        <v>659</v>
      </c>
      <c r="I167" s="1">
        <v>7</v>
      </c>
    </row>
    <row r="168" spans="1:9" ht="15" x14ac:dyDescent="0.25">
      <c r="A168" s="4">
        <v>45873</v>
      </c>
      <c r="B168" s="1" t="str">
        <f t="shared" si="6"/>
        <v>04/08/25 Lunes</v>
      </c>
      <c r="C168" s="1" t="s">
        <v>12</v>
      </c>
      <c r="D168">
        <v>352</v>
      </c>
      <c r="E168" s="1">
        <v>220</v>
      </c>
      <c r="F168" s="2">
        <v>131</v>
      </c>
      <c r="G168" s="2">
        <v>89</v>
      </c>
      <c r="H168" s="2">
        <v>122</v>
      </c>
      <c r="I168" s="1">
        <v>9</v>
      </c>
    </row>
    <row r="169" spans="1:9" ht="15" x14ac:dyDescent="0.25">
      <c r="A169" s="4">
        <v>45873</v>
      </c>
      <c r="B169" s="1" t="str">
        <f t="shared" si="6"/>
        <v>04/08/25 Lunes</v>
      </c>
      <c r="C169" s="1" t="s">
        <v>13</v>
      </c>
      <c r="D169">
        <v>896</v>
      </c>
      <c r="E169" s="1">
        <v>1542</v>
      </c>
      <c r="F169" s="2">
        <v>1016</v>
      </c>
      <c r="G169" s="2">
        <v>526</v>
      </c>
      <c r="H169" s="2">
        <v>974</v>
      </c>
      <c r="I169" s="1">
        <v>42</v>
      </c>
    </row>
    <row r="170" spans="1:9" ht="15" x14ac:dyDescent="0.25">
      <c r="A170" s="4">
        <v>45873</v>
      </c>
      <c r="B170" s="1" t="str">
        <f t="shared" si="6"/>
        <v>04/08/25 Lunes</v>
      </c>
      <c r="C170" s="1" t="s">
        <v>14</v>
      </c>
      <c r="D170">
        <v>1099</v>
      </c>
      <c r="E170" s="1">
        <v>2270</v>
      </c>
      <c r="F170" s="2">
        <v>1121</v>
      </c>
      <c r="G170" s="2">
        <v>1149</v>
      </c>
      <c r="H170" s="2">
        <v>1028</v>
      </c>
      <c r="I170" s="1">
        <v>93</v>
      </c>
    </row>
    <row r="171" spans="1:9" ht="15" x14ac:dyDescent="0.25">
      <c r="A171" s="4">
        <v>45873</v>
      </c>
      <c r="B171" s="1" t="str">
        <f t="shared" si="6"/>
        <v>04/08/25 Lunes</v>
      </c>
      <c r="C171" s="1" t="s">
        <v>15</v>
      </c>
      <c r="D171">
        <v>663</v>
      </c>
      <c r="E171" s="1">
        <v>754</v>
      </c>
      <c r="F171" s="2">
        <v>601</v>
      </c>
      <c r="G171" s="2">
        <v>153</v>
      </c>
      <c r="H171" s="2">
        <v>550</v>
      </c>
      <c r="I171" s="1">
        <v>51</v>
      </c>
    </row>
    <row r="172" spans="1:9" ht="15" x14ac:dyDescent="0.25">
      <c r="A172" s="4">
        <v>45874</v>
      </c>
      <c r="B172" s="1" t="str">
        <f t="shared" si="6"/>
        <v>05/08/25 Martes</v>
      </c>
      <c r="C172" s="1" t="s">
        <v>8</v>
      </c>
      <c r="D172">
        <v>690</v>
      </c>
      <c r="E172" s="1">
        <v>890</v>
      </c>
      <c r="F172" s="2">
        <v>730</v>
      </c>
      <c r="G172" s="2">
        <v>160</v>
      </c>
      <c r="H172" s="2">
        <v>654</v>
      </c>
      <c r="I172" s="1">
        <v>76</v>
      </c>
    </row>
    <row r="173" spans="1:9" ht="15" x14ac:dyDescent="0.25">
      <c r="A173" s="4">
        <v>45874</v>
      </c>
      <c r="B173" s="1" t="str">
        <f t="shared" si="6"/>
        <v>05/08/25 Martes</v>
      </c>
      <c r="C173" s="1" t="s">
        <v>9</v>
      </c>
      <c r="D173">
        <v>253</v>
      </c>
      <c r="E173" s="1">
        <v>253</v>
      </c>
      <c r="F173" s="2">
        <v>253</v>
      </c>
      <c r="G173" s="2">
        <v>0</v>
      </c>
      <c r="H173" s="2">
        <v>250</v>
      </c>
      <c r="I173" s="1">
        <v>3</v>
      </c>
    </row>
    <row r="174" spans="1:9" ht="15" x14ac:dyDescent="0.25">
      <c r="A174" s="4">
        <v>45874</v>
      </c>
      <c r="B174" s="1" t="str">
        <f t="shared" si="6"/>
        <v>05/08/25 Martes</v>
      </c>
      <c r="C174" s="1" t="s">
        <v>10</v>
      </c>
      <c r="D174">
        <v>945</v>
      </c>
      <c r="E174" s="1">
        <v>734</v>
      </c>
      <c r="F174" s="2">
        <v>646</v>
      </c>
      <c r="G174" s="2">
        <v>88</v>
      </c>
      <c r="H174" s="2">
        <v>633</v>
      </c>
      <c r="I174" s="1">
        <v>13</v>
      </c>
    </row>
    <row r="175" spans="1:9" ht="15" x14ac:dyDescent="0.25">
      <c r="A175" s="4">
        <v>45874</v>
      </c>
      <c r="B175" s="1" t="str">
        <f t="shared" si="6"/>
        <v>05/08/25 Martes</v>
      </c>
      <c r="C175" s="1" t="s">
        <v>11</v>
      </c>
      <c r="D175">
        <v>951</v>
      </c>
      <c r="E175" s="1">
        <v>1158</v>
      </c>
      <c r="F175" s="2">
        <v>1158</v>
      </c>
      <c r="G175" s="2">
        <v>0</v>
      </c>
      <c r="H175" s="2">
        <v>1149</v>
      </c>
      <c r="I175" s="1">
        <v>9</v>
      </c>
    </row>
    <row r="176" spans="1:9" ht="15" x14ac:dyDescent="0.25">
      <c r="A176" s="4">
        <v>45874</v>
      </c>
      <c r="B176" s="1" t="str">
        <f t="shared" si="6"/>
        <v>05/08/25 Martes</v>
      </c>
      <c r="C176" s="1" t="s">
        <v>12</v>
      </c>
      <c r="D176">
        <v>1035</v>
      </c>
      <c r="E176" s="1">
        <v>1132</v>
      </c>
      <c r="F176" s="2">
        <v>867</v>
      </c>
      <c r="G176" s="2">
        <v>265</v>
      </c>
      <c r="H176" s="2">
        <v>779</v>
      </c>
      <c r="I176" s="1">
        <v>88</v>
      </c>
    </row>
    <row r="177" spans="1:9" ht="15" x14ac:dyDescent="0.25">
      <c r="A177" s="4">
        <v>45874</v>
      </c>
      <c r="B177" s="1" t="str">
        <f t="shared" si="6"/>
        <v>05/08/25 Martes</v>
      </c>
      <c r="C177" s="1" t="s">
        <v>13</v>
      </c>
      <c r="D177">
        <v>474</v>
      </c>
      <c r="E177" s="1">
        <v>640</v>
      </c>
      <c r="F177" s="2">
        <v>611</v>
      </c>
      <c r="G177" s="2">
        <v>29</v>
      </c>
      <c r="H177" s="2">
        <v>578</v>
      </c>
      <c r="I177" s="1">
        <v>33</v>
      </c>
    </row>
    <row r="178" spans="1:9" ht="15" x14ac:dyDescent="0.25">
      <c r="A178" s="4">
        <v>45874</v>
      </c>
      <c r="B178" s="1" t="str">
        <f t="shared" si="6"/>
        <v>05/08/25 Martes</v>
      </c>
      <c r="C178" s="1" t="s">
        <v>14</v>
      </c>
      <c r="D178">
        <v>286</v>
      </c>
      <c r="E178" s="1">
        <v>209</v>
      </c>
      <c r="F178" s="2">
        <v>176</v>
      </c>
      <c r="G178" s="2">
        <v>33</v>
      </c>
      <c r="H178" s="2">
        <v>162</v>
      </c>
      <c r="I178" s="1">
        <v>14</v>
      </c>
    </row>
    <row r="179" spans="1:9" ht="15" x14ac:dyDescent="0.25">
      <c r="A179" s="4">
        <v>45874</v>
      </c>
      <c r="B179" s="1" t="str">
        <f t="shared" si="6"/>
        <v>05/08/25 Martes</v>
      </c>
      <c r="C179" s="1" t="s">
        <v>15</v>
      </c>
      <c r="D179">
        <v>737</v>
      </c>
      <c r="E179" s="1">
        <v>691</v>
      </c>
      <c r="F179" s="2">
        <v>548</v>
      </c>
      <c r="G179" s="2">
        <v>143</v>
      </c>
      <c r="H179" s="2">
        <v>502</v>
      </c>
      <c r="I179" s="1">
        <v>46</v>
      </c>
    </row>
    <row r="180" spans="1:9" ht="15" x14ac:dyDescent="0.25">
      <c r="A180" s="4">
        <v>45875</v>
      </c>
      <c r="B180" s="1" t="str">
        <f t="shared" si="6"/>
        <v>06/08/25 Miércoles</v>
      </c>
      <c r="C180" s="1" t="s">
        <v>8</v>
      </c>
      <c r="D180">
        <v>697</v>
      </c>
      <c r="E180" s="1">
        <v>953</v>
      </c>
      <c r="F180" s="2">
        <v>703</v>
      </c>
      <c r="G180" s="2">
        <v>250</v>
      </c>
      <c r="H180" s="2">
        <v>667</v>
      </c>
      <c r="I180" s="1">
        <v>36</v>
      </c>
    </row>
    <row r="181" spans="1:9" ht="15" x14ac:dyDescent="0.25">
      <c r="A181" s="4">
        <v>45875</v>
      </c>
      <c r="B181" s="1" t="str">
        <f t="shared" si="6"/>
        <v>06/08/25 Miércoles</v>
      </c>
      <c r="C181" s="1" t="s">
        <v>9</v>
      </c>
      <c r="D181">
        <v>48</v>
      </c>
      <c r="E181" s="1">
        <v>51</v>
      </c>
      <c r="F181" s="2">
        <v>48</v>
      </c>
      <c r="G181" s="2">
        <v>3</v>
      </c>
      <c r="H181" s="2">
        <v>48</v>
      </c>
      <c r="I181" s="1">
        <v>0</v>
      </c>
    </row>
    <row r="182" spans="1:9" ht="15" x14ac:dyDescent="0.25">
      <c r="A182" s="4">
        <v>45875</v>
      </c>
      <c r="B182" s="1" t="str">
        <f t="shared" si="6"/>
        <v>06/08/25 Miércoles</v>
      </c>
      <c r="C182" s="1" t="s">
        <v>10</v>
      </c>
      <c r="D182">
        <v>697</v>
      </c>
      <c r="E182" s="1">
        <v>1093</v>
      </c>
      <c r="F182" s="2">
        <v>956</v>
      </c>
      <c r="G182" s="2">
        <v>137</v>
      </c>
      <c r="H182" s="2">
        <v>933</v>
      </c>
      <c r="I182" s="1">
        <v>23</v>
      </c>
    </row>
    <row r="183" spans="1:9" ht="15" x14ac:dyDescent="0.25">
      <c r="A183" s="4">
        <v>45875</v>
      </c>
      <c r="B183" s="1" t="str">
        <f t="shared" si="6"/>
        <v>06/08/25 Miércoles</v>
      </c>
      <c r="C183" s="1" t="s">
        <v>11</v>
      </c>
      <c r="D183">
        <v>708</v>
      </c>
      <c r="E183" s="1">
        <v>649</v>
      </c>
      <c r="F183" s="2">
        <v>649</v>
      </c>
      <c r="G183" s="2">
        <v>0</v>
      </c>
      <c r="H183" s="2">
        <v>645</v>
      </c>
      <c r="I183" s="1">
        <v>4</v>
      </c>
    </row>
    <row r="184" spans="1:9" ht="15" x14ac:dyDescent="0.25">
      <c r="A184" s="4">
        <v>45875</v>
      </c>
      <c r="B184" s="1" t="str">
        <f t="shared" si="6"/>
        <v>06/08/25 Miércoles</v>
      </c>
      <c r="C184" s="1" t="s">
        <v>12</v>
      </c>
      <c r="D184">
        <v>352</v>
      </c>
      <c r="E184" s="1">
        <v>820</v>
      </c>
      <c r="F184" s="2">
        <v>661</v>
      </c>
      <c r="G184" s="2">
        <v>159</v>
      </c>
      <c r="H184" s="2">
        <v>595</v>
      </c>
      <c r="I184" s="1">
        <v>66</v>
      </c>
    </row>
    <row r="185" spans="1:9" ht="15" x14ac:dyDescent="0.25">
      <c r="A185" s="4">
        <v>45875</v>
      </c>
      <c r="B185" s="1" t="str">
        <f t="shared" si="6"/>
        <v>06/08/25 Miércoles</v>
      </c>
      <c r="C185" s="1" t="s">
        <v>13</v>
      </c>
      <c r="D185">
        <v>926</v>
      </c>
      <c r="E185" s="1">
        <v>1132</v>
      </c>
      <c r="F185" s="2">
        <v>922</v>
      </c>
      <c r="G185" s="2">
        <v>210</v>
      </c>
      <c r="H185" s="2">
        <v>878</v>
      </c>
      <c r="I185" s="1">
        <v>44</v>
      </c>
    </row>
    <row r="186" spans="1:9" ht="15" x14ac:dyDescent="0.25">
      <c r="A186" s="4">
        <v>45875</v>
      </c>
      <c r="B186" s="1" t="str">
        <f t="shared" si="6"/>
        <v>06/08/25 Miércoles</v>
      </c>
      <c r="C186" s="1" t="s">
        <v>14</v>
      </c>
      <c r="D186">
        <v>1099</v>
      </c>
      <c r="E186" s="1">
        <v>824</v>
      </c>
      <c r="F186" s="2">
        <v>548</v>
      </c>
      <c r="G186" s="2">
        <v>276</v>
      </c>
      <c r="H186" s="2">
        <v>495</v>
      </c>
      <c r="I186" s="1">
        <v>53</v>
      </c>
    </row>
    <row r="187" spans="1:9" ht="15" x14ac:dyDescent="0.25">
      <c r="A187" s="4">
        <v>45875</v>
      </c>
      <c r="B187" s="1" t="str">
        <f t="shared" si="6"/>
        <v>06/08/25 Miércoles</v>
      </c>
      <c r="C187" s="1" t="s">
        <v>15</v>
      </c>
      <c r="D187">
        <v>663</v>
      </c>
      <c r="E187" s="1">
        <v>804</v>
      </c>
      <c r="F187" s="2">
        <v>725</v>
      </c>
      <c r="G187" s="2">
        <v>79</v>
      </c>
      <c r="H187" s="2">
        <v>584</v>
      </c>
      <c r="I187" s="1">
        <v>141</v>
      </c>
    </row>
    <row r="188" spans="1:9" ht="15" x14ac:dyDescent="0.25">
      <c r="A188" s="4">
        <v>45876</v>
      </c>
      <c r="B188" s="1" t="str">
        <f t="shared" si="6"/>
        <v>07/08/25 Jueves</v>
      </c>
      <c r="C188" s="1" t="s">
        <v>8</v>
      </c>
      <c r="D188">
        <v>690</v>
      </c>
      <c r="E188" s="1">
        <v>883</v>
      </c>
      <c r="F188" s="2">
        <v>813</v>
      </c>
      <c r="G188" s="2">
        <v>70</v>
      </c>
      <c r="H188" s="2">
        <v>722</v>
      </c>
      <c r="I188" s="1">
        <v>91</v>
      </c>
    </row>
    <row r="189" spans="1:9" ht="15" x14ac:dyDescent="0.25">
      <c r="A189" s="4">
        <v>45876</v>
      </c>
      <c r="B189" s="1" t="str">
        <f t="shared" si="6"/>
        <v>07/08/25 Jueves</v>
      </c>
      <c r="C189" s="1" t="s">
        <v>9</v>
      </c>
      <c r="D189">
        <v>253</v>
      </c>
      <c r="E189" s="1">
        <v>253</v>
      </c>
      <c r="F189" s="2">
        <v>253</v>
      </c>
      <c r="G189" s="2">
        <v>0</v>
      </c>
      <c r="H189" s="2">
        <v>252</v>
      </c>
      <c r="I189" s="1">
        <v>1</v>
      </c>
    </row>
    <row r="190" spans="1:9" ht="15" x14ac:dyDescent="0.25">
      <c r="A190" s="4">
        <v>45876</v>
      </c>
      <c r="B190" s="1" t="str">
        <f t="shared" si="6"/>
        <v>07/08/25 Jueves</v>
      </c>
      <c r="C190" s="1" t="s">
        <v>10</v>
      </c>
      <c r="D190">
        <v>945</v>
      </c>
      <c r="E190" s="1">
        <v>711</v>
      </c>
      <c r="F190" s="2">
        <v>664</v>
      </c>
      <c r="G190" s="2">
        <v>47</v>
      </c>
      <c r="H190" s="2">
        <v>651</v>
      </c>
      <c r="I190" s="1">
        <v>13</v>
      </c>
    </row>
    <row r="191" spans="1:9" ht="15" x14ac:dyDescent="0.25">
      <c r="A191" s="4">
        <v>45876</v>
      </c>
      <c r="B191" s="1" t="str">
        <f t="shared" si="6"/>
        <v>07/08/25 Jueves</v>
      </c>
      <c r="C191" s="1" t="s">
        <v>11</v>
      </c>
      <c r="D191">
        <v>951</v>
      </c>
      <c r="E191" s="1">
        <v>1155</v>
      </c>
      <c r="F191" s="2">
        <v>1155</v>
      </c>
      <c r="G191" s="2">
        <v>0</v>
      </c>
      <c r="H191" s="2">
        <v>1141</v>
      </c>
      <c r="I191" s="1">
        <v>14</v>
      </c>
    </row>
    <row r="192" spans="1:9" ht="15" x14ac:dyDescent="0.25">
      <c r="A192" s="4">
        <v>45876</v>
      </c>
      <c r="B192" s="1" t="str">
        <f t="shared" si="6"/>
        <v>07/08/25 Jueves</v>
      </c>
      <c r="C192" s="1" t="s">
        <v>12</v>
      </c>
      <c r="D192">
        <v>1035</v>
      </c>
      <c r="E192" s="1">
        <v>412</v>
      </c>
      <c r="F192" s="2">
        <v>370</v>
      </c>
      <c r="G192" s="2">
        <v>42</v>
      </c>
      <c r="H192" s="2">
        <v>342</v>
      </c>
      <c r="I192" s="1">
        <v>28</v>
      </c>
    </row>
    <row r="193" spans="1:9" ht="15" x14ac:dyDescent="0.25">
      <c r="A193" s="4">
        <v>45876</v>
      </c>
      <c r="B193" s="1" t="str">
        <f t="shared" si="6"/>
        <v>07/08/25 Jueves</v>
      </c>
      <c r="C193" s="1" t="s">
        <v>13</v>
      </c>
      <c r="D193">
        <v>480</v>
      </c>
      <c r="E193" s="1">
        <v>962</v>
      </c>
      <c r="F193" s="2">
        <v>632</v>
      </c>
      <c r="G193" s="2">
        <v>330</v>
      </c>
      <c r="H193" s="2">
        <v>599</v>
      </c>
      <c r="I193" s="1">
        <v>33</v>
      </c>
    </row>
    <row r="194" spans="1:9" ht="15" x14ac:dyDescent="0.25">
      <c r="A194" s="4">
        <v>45876</v>
      </c>
      <c r="B194" s="1" t="str">
        <f t="shared" si="6"/>
        <v>07/08/25 Jueves</v>
      </c>
      <c r="C194" s="1" t="s">
        <v>14</v>
      </c>
      <c r="D194">
        <v>286</v>
      </c>
      <c r="E194" s="1">
        <v>1222</v>
      </c>
      <c r="F194" s="2">
        <v>966</v>
      </c>
      <c r="G194" s="2">
        <v>256</v>
      </c>
      <c r="H194" s="2">
        <v>884</v>
      </c>
      <c r="I194" s="1">
        <v>82</v>
      </c>
    </row>
    <row r="195" spans="1:9" ht="15" x14ac:dyDescent="0.25">
      <c r="A195" s="4">
        <v>45876</v>
      </c>
      <c r="B195" s="1" t="str">
        <f t="shared" ref="B195:B258" si="7">PROPER(TEXT(A195,"[$-es-ES]dd/mm/yy dddd"))</f>
        <v>07/08/25 Jueves</v>
      </c>
      <c r="C195" s="1" t="s">
        <v>15</v>
      </c>
      <c r="D195">
        <v>737</v>
      </c>
      <c r="E195" s="1">
        <v>630</v>
      </c>
      <c r="F195" s="2">
        <v>534</v>
      </c>
      <c r="G195" s="2">
        <v>96</v>
      </c>
      <c r="H195" s="2">
        <v>490</v>
      </c>
      <c r="I195" s="1">
        <v>44</v>
      </c>
    </row>
    <row r="196" spans="1:9" ht="15" x14ac:dyDescent="0.25">
      <c r="A196" s="4">
        <v>45877</v>
      </c>
      <c r="B196" s="1" t="str">
        <f t="shared" si="7"/>
        <v>08/08/25 Viernes</v>
      </c>
      <c r="C196" s="1" t="s">
        <v>8</v>
      </c>
      <c r="D196">
        <v>697</v>
      </c>
      <c r="E196" s="1">
        <v>795</v>
      </c>
      <c r="F196" s="2">
        <v>555</v>
      </c>
      <c r="G196" s="2">
        <v>240</v>
      </c>
      <c r="H196" s="2">
        <v>528</v>
      </c>
      <c r="I196" s="1">
        <v>27</v>
      </c>
    </row>
    <row r="197" spans="1:9" ht="15" x14ac:dyDescent="0.25">
      <c r="A197" s="4">
        <v>45877</v>
      </c>
      <c r="B197" s="1" t="str">
        <f t="shared" si="7"/>
        <v>08/08/25 Viernes</v>
      </c>
      <c r="C197" s="1" t="s">
        <v>9</v>
      </c>
      <c r="D197">
        <v>48</v>
      </c>
      <c r="E197" s="1">
        <v>49</v>
      </c>
      <c r="F197" s="2">
        <v>49</v>
      </c>
      <c r="G197" s="2">
        <v>0</v>
      </c>
      <c r="H197" s="2">
        <v>49</v>
      </c>
      <c r="I197" s="1">
        <v>0</v>
      </c>
    </row>
    <row r="198" spans="1:9" ht="15" x14ac:dyDescent="0.25">
      <c r="A198" s="4">
        <v>45877</v>
      </c>
      <c r="B198" s="1" t="str">
        <f t="shared" si="7"/>
        <v>08/08/25 Viernes</v>
      </c>
      <c r="C198" s="1" t="s">
        <v>10</v>
      </c>
      <c r="D198">
        <v>697</v>
      </c>
      <c r="E198" s="1">
        <v>1124</v>
      </c>
      <c r="F198" s="2">
        <v>1095</v>
      </c>
      <c r="G198" s="2">
        <v>29</v>
      </c>
      <c r="H198" s="2">
        <v>1078</v>
      </c>
      <c r="I198" s="1">
        <v>17</v>
      </c>
    </row>
    <row r="199" spans="1:9" ht="15" x14ac:dyDescent="0.25">
      <c r="A199" s="4">
        <v>45877</v>
      </c>
      <c r="B199" s="1" t="str">
        <f t="shared" si="7"/>
        <v>08/08/25 Viernes</v>
      </c>
      <c r="C199" s="1" t="s">
        <v>11</v>
      </c>
      <c r="D199">
        <v>708</v>
      </c>
      <c r="E199" s="1">
        <v>654</v>
      </c>
      <c r="F199" s="2">
        <v>654</v>
      </c>
      <c r="G199" s="2">
        <v>0</v>
      </c>
      <c r="H199" s="2">
        <v>645</v>
      </c>
      <c r="I199" s="1">
        <v>9</v>
      </c>
    </row>
    <row r="200" spans="1:9" ht="15" x14ac:dyDescent="0.25">
      <c r="A200" s="4">
        <v>45877</v>
      </c>
      <c r="B200" s="1" t="str">
        <f t="shared" si="7"/>
        <v>08/08/25 Viernes</v>
      </c>
      <c r="C200" s="1" t="s">
        <v>12</v>
      </c>
      <c r="D200">
        <v>352</v>
      </c>
      <c r="E200" s="1">
        <v>1067</v>
      </c>
      <c r="F200" s="2">
        <v>820</v>
      </c>
      <c r="G200" s="2">
        <v>247</v>
      </c>
      <c r="H200" s="2">
        <v>740</v>
      </c>
      <c r="I200" s="1">
        <v>80</v>
      </c>
    </row>
    <row r="201" spans="1:9" ht="15" x14ac:dyDescent="0.25">
      <c r="A201" s="4">
        <v>45877</v>
      </c>
      <c r="B201" s="1" t="str">
        <f t="shared" si="7"/>
        <v>08/08/25 Viernes</v>
      </c>
      <c r="C201" s="1" t="s">
        <v>13</v>
      </c>
      <c r="D201">
        <v>890</v>
      </c>
      <c r="E201" s="1">
        <v>1225</v>
      </c>
      <c r="F201" s="2">
        <v>1131</v>
      </c>
      <c r="G201" s="2">
        <v>94</v>
      </c>
      <c r="H201" s="2">
        <v>1075</v>
      </c>
      <c r="I201" s="1">
        <v>56</v>
      </c>
    </row>
    <row r="202" spans="1:9" ht="15" x14ac:dyDescent="0.25">
      <c r="A202" s="4">
        <v>45877</v>
      </c>
      <c r="B202" s="1" t="str">
        <f t="shared" si="7"/>
        <v>08/08/25 Viernes</v>
      </c>
      <c r="C202" s="1" t="s">
        <v>14</v>
      </c>
      <c r="D202">
        <v>1099</v>
      </c>
      <c r="E202" s="1">
        <v>647</v>
      </c>
      <c r="F202" s="2">
        <v>470</v>
      </c>
      <c r="G202" s="2">
        <v>177</v>
      </c>
      <c r="H202" s="2">
        <v>423</v>
      </c>
      <c r="I202" s="1">
        <v>47</v>
      </c>
    </row>
    <row r="203" spans="1:9" ht="15" x14ac:dyDescent="0.25">
      <c r="A203" s="4">
        <v>45877</v>
      </c>
      <c r="B203" s="1" t="str">
        <f t="shared" si="7"/>
        <v>08/08/25 Viernes</v>
      </c>
      <c r="C203" s="1" t="s">
        <v>15</v>
      </c>
      <c r="D203">
        <v>663</v>
      </c>
      <c r="E203" s="1">
        <v>774</v>
      </c>
      <c r="F203" s="2">
        <v>502</v>
      </c>
      <c r="G203" s="2">
        <v>272</v>
      </c>
      <c r="H203" s="2">
        <v>465</v>
      </c>
      <c r="I203" s="1">
        <v>37</v>
      </c>
    </row>
    <row r="204" spans="1:9" ht="15" x14ac:dyDescent="0.25">
      <c r="A204" s="4">
        <v>45878</v>
      </c>
      <c r="B204" s="1" t="str">
        <f t="shared" si="7"/>
        <v>09/08/25 Sábado</v>
      </c>
      <c r="C204" s="1" t="s">
        <v>8</v>
      </c>
      <c r="D204">
        <v>690</v>
      </c>
      <c r="E204" s="1">
        <v>882</v>
      </c>
      <c r="F204" s="2">
        <v>719</v>
      </c>
      <c r="G204" s="2">
        <v>163</v>
      </c>
      <c r="H204" s="2">
        <v>640</v>
      </c>
      <c r="I204" s="1">
        <v>79</v>
      </c>
    </row>
    <row r="205" spans="1:9" ht="15" x14ac:dyDescent="0.25">
      <c r="A205" s="4">
        <v>45878</v>
      </c>
      <c r="B205" s="1" t="str">
        <f t="shared" si="7"/>
        <v>09/08/25 Sábado</v>
      </c>
      <c r="C205" s="1" t="s">
        <v>10</v>
      </c>
      <c r="D205">
        <v>0</v>
      </c>
      <c r="E205" s="1">
        <v>23</v>
      </c>
      <c r="F205" s="2">
        <v>23</v>
      </c>
      <c r="G205" s="2">
        <v>0</v>
      </c>
      <c r="H205" s="2">
        <v>20</v>
      </c>
      <c r="I205" s="1">
        <v>3</v>
      </c>
    </row>
    <row r="206" spans="1:9" ht="15" x14ac:dyDescent="0.25">
      <c r="A206" s="4">
        <v>45878</v>
      </c>
      <c r="B206" s="1" t="str">
        <f t="shared" si="7"/>
        <v>09/08/25 Sábado</v>
      </c>
      <c r="C206" s="1" t="s">
        <v>12</v>
      </c>
      <c r="D206">
        <v>935</v>
      </c>
      <c r="E206" s="1">
        <v>791</v>
      </c>
      <c r="F206" s="2">
        <v>652</v>
      </c>
      <c r="G206" s="2">
        <v>139</v>
      </c>
      <c r="H206" s="2">
        <v>584</v>
      </c>
      <c r="I206" s="1">
        <v>68</v>
      </c>
    </row>
    <row r="207" spans="1:9" ht="15" x14ac:dyDescent="0.25">
      <c r="A207" s="4">
        <v>45878</v>
      </c>
      <c r="B207" s="1" t="str">
        <f t="shared" si="7"/>
        <v>09/08/25 Sábado</v>
      </c>
      <c r="C207" s="1" t="s">
        <v>13</v>
      </c>
      <c r="D207">
        <v>288</v>
      </c>
      <c r="E207" s="1">
        <v>100</v>
      </c>
      <c r="F207" s="2">
        <v>100</v>
      </c>
      <c r="G207" s="2">
        <v>0</v>
      </c>
      <c r="H207" s="2">
        <v>92</v>
      </c>
      <c r="I207" s="1">
        <v>8</v>
      </c>
    </row>
    <row r="208" spans="1:9" ht="15" x14ac:dyDescent="0.25">
      <c r="A208" s="4">
        <v>45878</v>
      </c>
      <c r="B208" s="1" t="str">
        <f t="shared" si="7"/>
        <v>09/08/25 Sábado</v>
      </c>
      <c r="C208" s="1" t="s">
        <v>14</v>
      </c>
      <c r="D208">
        <v>286</v>
      </c>
      <c r="E208" s="1">
        <v>961</v>
      </c>
      <c r="F208" s="2">
        <v>778</v>
      </c>
      <c r="G208" s="2">
        <v>183</v>
      </c>
      <c r="H208" s="2">
        <v>701</v>
      </c>
      <c r="I208" s="1">
        <v>77</v>
      </c>
    </row>
    <row r="209" spans="1:9" ht="15" x14ac:dyDescent="0.25">
      <c r="A209" s="4">
        <v>45878</v>
      </c>
      <c r="B209" s="1" t="str">
        <f t="shared" si="7"/>
        <v>09/08/25 Sábado</v>
      </c>
      <c r="C209" s="1" t="s">
        <v>15</v>
      </c>
      <c r="D209">
        <v>737</v>
      </c>
      <c r="E209" s="1">
        <v>693</v>
      </c>
      <c r="F209" s="2">
        <v>652</v>
      </c>
      <c r="G209" s="2">
        <v>41</v>
      </c>
      <c r="H209" s="2">
        <v>615</v>
      </c>
      <c r="I209" s="1">
        <v>37</v>
      </c>
    </row>
    <row r="210" spans="1:9" ht="15" x14ac:dyDescent="0.25">
      <c r="A210" s="4">
        <v>45879</v>
      </c>
      <c r="B210" s="1" t="str">
        <f t="shared" si="7"/>
        <v>10/08/25 Domingo</v>
      </c>
      <c r="C210" s="1" t="s">
        <v>8</v>
      </c>
      <c r="D210">
        <v>141</v>
      </c>
      <c r="E210" s="1">
        <v>335</v>
      </c>
      <c r="F210" s="2">
        <v>248</v>
      </c>
      <c r="G210" s="2">
        <v>87</v>
      </c>
      <c r="H210" s="2">
        <v>130</v>
      </c>
      <c r="I210" s="1">
        <v>118</v>
      </c>
    </row>
    <row r="211" spans="1:9" ht="15" x14ac:dyDescent="0.25">
      <c r="A211" s="4">
        <v>45879</v>
      </c>
      <c r="B211" s="1" t="str">
        <f t="shared" si="7"/>
        <v>10/08/25 Domingo</v>
      </c>
      <c r="C211" s="1" t="s">
        <v>9</v>
      </c>
      <c r="D211">
        <v>301</v>
      </c>
      <c r="E211" s="1">
        <v>253</v>
      </c>
      <c r="F211" s="2">
        <v>245</v>
      </c>
      <c r="G211" s="2">
        <v>8</v>
      </c>
      <c r="H211" s="2">
        <v>241</v>
      </c>
      <c r="I211" s="1">
        <v>4</v>
      </c>
    </row>
    <row r="212" spans="1:9" ht="15" x14ac:dyDescent="0.25">
      <c r="A212" s="4">
        <v>45879</v>
      </c>
      <c r="B212" s="1" t="str">
        <f t="shared" si="7"/>
        <v>10/08/25 Domingo</v>
      </c>
      <c r="C212" s="1" t="s">
        <v>10</v>
      </c>
      <c r="D212">
        <v>945</v>
      </c>
      <c r="E212" s="1">
        <v>962</v>
      </c>
      <c r="F212" s="2">
        <v>752</v>
      </c>
      <c r="G212" s="2">
        <v>210</v>
      </c>
      <c r="H212" s="2">
        <v>689</v>
      </c>
      <c r="I212" s="1">
        <v>63</v>
      </c>
    </row>
    <row r="213" spans="1:9" ht="15" x14ac:dyDescent="0.25">
      <c r="A213" s="4">
        <v>45879</v>
      </c>
      <c r="B213" s="1" t="str">
        <f t="shared" si="7"/>
        <v>10/08/25 Domingo</v>
      </c>
      <c r="C213" s="1" t="s">
        <v>11</v>
      </c>
      <c r="D213">
        <v>1659</v>
      </c>
      <c r="E213" s="1">
        <v>1155</v>
      </c>
      <c r="F213" s="2">
        <v>1140</v>
      </c>
      <c r="G213" s="2">
        <v>15</v>
      </c>
      <c r="H213" s="2">
        <v>1123</v>
      </c>
      <c r="I213" s="1">
        <v>17</v>
      </c>
    </row>
    <row r="214" spans="1:9" ht="15" x14ac:dyDescent="0.25">
      <c r="A214" s="4">
        <v>45879</v>
      </c>
      <c r="B214" s="1" t="str">
        <f t="shared" si="7"/>
        <v>10/08/25 Domingo</v>
      </c>
      <c r="C214" s="1" t="s">
        <v>12</v>
      </c>
      <c r="D214">
        <v>452</v>
      </c>
      <c r="E214" s="1">
        <v>100</v>
      </c>
      <c r="F214" s="2">
        <v>100</v>
      </c>
      <c r="G214" s="2">
        <v>0</v>
      </c>
      <c r="H214" s="2">
        <v>98</v>
      </c>
      <c r="I214" s="1">
        <v>2</v>
      </c>
    </row>
    <row r="215" spans="1:9" ht="15" x14ac:dyDescent="0.25">
      <c r="A215" s="4">
        <v>45879</v>
      </c>
      <c r="B215" s="1" t="str">
        <f t="shared" si="7"/>
        <v>10/08/25 Domingo</v>
      </c>
      <c r="C215" s="1" t="s">
        <v>13</v>
      </c>
      <c r="D215">
        <v>450</v>
      </c>
      <c r="E215" s="1">
        <v>383</v>
      </c>
      <c r="F215" s="2">
        <v>353</v>
      </c>
      <c r="G215" s="2">
        <v>30</v>
      </c>
      <c r="H215" s="2">
        <v>338</v>
      </c>
      <c r="I215" s="1">
        <v>15</v>
      </c>
    </row>
    <row r="216" spans="1:9" ht="15" x14ac:dyDescent="0.25">
      <c r="A216" s="4">
        <v>45879</v>
      </c>
      <c r="B216" s="1" t="str">
        <f t="shared" si="7"/>
        <v>10/08/25 Domingo</v>
      </c>
      <c r="C216" s="1" t="s">
        <v>14</v>
      </c>
      <c r="D216">
        <v>0</v>
      </c>
      <c r="E216" s="1">
        <v>358</v>
      </c>
      <c r="F216" s="2">
        <v>303</v>
      </c>
      <c r="G216" s="2">
        <v>55</v>
      </c>
      <c r="H216" s="2">
        <v>227</v>
      </c>
      <c r="I216" s="1">
        <v>76</v>
      </c>
    </row>
    <row r="217" spans="1:9" ht="15" x14ac:dyDescent="0.25">
      <c r="A217" s="4">
        <v>45879</v>
      </c>
      <c r="B217" s="1" t="str">
        <f t="shared" si="7"/>
        <v>10/08/25 Domingo</v>
      </c>
      <c r="C217" s="1" t="s">
        <v>15</v>
      </c>
      <c r="D217">
        <v>0</v>
      </c>
      <c r="E217" s="1">
        <v>552</v>
      </c>
      <c r="F217" s="2">
        <v>418</v>
      </c>
      <c r="G217" s="2">
        <v>134</v>
      </c>
      <c r="H217" s="2">
        <v>394</v>
      </c>
      <c r="I217" s="1">
        <v>24</v>
      </c>
    </row>
    <row r="218" spans="1:9" ht="15" x14ac:dyDescent="0.25">
      <c r="A218" s="4">
        <v>45880</v>
      </c>
      <c r="B218" s="1" t="str">
        <f t="shared" si="7"/>
        <v>11/08/25 Lunes</v>
      </c>
      <c r="C218" s="1" t="s">
        <v>8</v>
      </c>
      <c r="D218">
        <v>694</v>
      </c>
      <c r="E218" s="1">
        <v>948</v>
      </c>
      <c r="F218" s="2">
        <v>682</v>
      </c>
      <c r="G218" s="2">
        <v>266</v>
      </c>
      <c r="H218" s="2">
        <v>648</v>
      </c>
      <c r="I218" s="1">
        <v>34</v>
      </c>
    </row>
    <row r="219" spans="1:9" ht="15" x14ac:dyDescent="0.25">
      <c r="A219" s="4">
        <v>45880</v>
      </c>
      <c r="B219" s="1" t="str">
        <f t="shared" si="7"/>
        <v>11/08/25 Lunes</v>
      </c>
      <c r="C219" s="1" t="s">
        <v>9</v>
      </c>
      <c r="D219">
        <v>48</v>
      </c>
      <c r="E219" s="1">
        <v>8</v>
      </c>
      <c r="F219" s="2">
        <v>8</v>
      </c>
      <c r="G219" s="2">
        <v>0</v>
      </c>
      <c r="H219" s="2">
        <v>8</v>
      </c>
      <c r="I219" s="1">
        <v>0</v>
      </c>
    </row>
    <row r="220" spans="1:9" ht="15" x14ac:dyDescent="0.25">
      <c r="A220" s="4">
        <v>45880</v>
      </c>
      <c r="B220" s="1" t="str">
        <f t="shared" si="7"/>
        <v>11/08/25 Lunes</v>
      </c>
      <c r="C220" s="1" t="s">
        <v>10</v>
      </c>
      <c r="D220">
        <v>697</v>
      </c>
      <c r="E220" s="1">
        <v>140</v>
      </c>
      <c r="F220" s="2">
        <v>125</v>
      </c>
      <c r="G220" s="2">
        <v>15</v>
      </c>
      <c r="H220" s="2">
        <v>122</v>
      </c>
      <c r="I220" s="1">
        <v>3</v>
      </c>
    </row>
    <row r="221" spans="1:9" ht="15" x14ac:dyDescent="0.25">
      <c r="A221" s="4">
        <v>45880</v>
      </c>
      <c r="B221" s="1" t="str">
        <f t="shared" si="7"/>
        <v>11/08/25 Lunes</v>
      </c>
      <c r="C221" s="1" t="s">
        <v>11</v>
      </c>
      <c r="D221">
        <v>951</v>
      </c>
      <c r="E221" s="1">
        <v>15</v>
      </c>
      <c r="F221" s="2">
        <v>15</v>
      </c>
      <c r="G221" s="2">
        <v>0</v>
      </c>
      <c r="H221" s="2">
        <v>11</v>
      </c>
      <c r="I221" s="1">
        <v>4</v>
      </c>
    </row>
    <row r="222" spans="1:9" ht="15" x14ac:dyDescent="0.25">
      <c r="A222" s="4">
        <v>45880</v>
      </c>
      <c r="B222" s="1" t="str">
        <f t="shared" si="7"/>
        <v>11/08/25 Lunes</v>
      </c>
      <c r="C222" s="1" t="s">
        <v>12</v>
      </c>
      <c r="D222">
        <v>452</v>
      </c>
      <c r="E222" s="1">
        <v>877</v>
      </c>
      <c r="F222" s="2">
        <v>808</v>
      </c>
      <c r="G222" s="2">
        <v>69</v>
      </c>
      <c r="H222" s="2">
        <v>735</v>
      </c>
      <c r="I222" s="1">
        <v>73</v>
      </c>
    </row>
    <row r="223" spans="1:9" ht="15" x14ac:dyDescent="0.25">
      <c r="A223" s="4">
        <v>45880</v>
      </c>
      <c r="B223" s="1" t="str">
        <f t="shared" si="7"/>
        <v>11/08/25 Lunes</v>
      </c>
      <c r="C223" s="1" t="s">
        <v>13</v>
      </c>
      <c r="D223">
        <v>890</v>
      </c>
      <c r="E223" s="1">
        <v>499</v>
      </c>
      <c r="F223" s="2">
        <v>317</v>
      </c>
      <c r="G223" s="2">
        <v>182</v>
      </c>
      <c r="H223" s="2">
        <v>284</v>
      </c>
      <c r="I223" s="1">
        <v>33</v>
      </c>
    </row>
    <row r="224" spans="1:9" ht="15" x14ac:dyDescent="0.25">
      <c r="A224" s="4">
        <v>45880</v>
      </c>
      <c r="B224" s="1" t="str">
        <f t="shared" si="7"/>
        <v>11/08/25 Lunes</v>
      </c>
      <c r="C224" s="1" t="s">
        <v>14</v>
      </c>
      <c r="D224">
        <v>1099</v>
      </c>
      <c r="E224" s="1">
        <v>671</v>
      </c>
      <c r="F224" s="2">
        <v>538</v>
      </c>
      <c r="G224" s="2">
        <v>133</v>
      </c>
      <c r="H224" s="2">
        <v>482</v>
      </c>
      <c r="I224" s="1">
        <v>56</v>
      </c>
    </row>
    <row r="225" spans="1:9" ht="15" x14ac:dyDescent="0.25">
      <c r="A225" s="4">
        <v>45880</v>
      </c>
      <c r="B225" s="1" t="str">
        <f t="shared" si="7"/>
        <v>11/08/25 Lunes</v>
      </c>
      <c r="C225" s="1" t="s">
        <v>15</v>
      </c>
      <c r="D225">
        <v>663</v>
      </c>
      <c r="E225" s="1">
        <v>525</v>
      </c>
      <c r="F225" s="2">
        <v>468</v>
      </c>
      <c r="G225" s="2">
        <v>57</v>
      </c>
      <c r="H225" s="2">
        <v>426</v>
      </c>
      <c r="I225" s="1">
        <v>42</v>
      </c>
    </row>
    <row r="226" spans="1:9" ht="15" x14ac:dyDescent="0.25">
      <c r="A226" s="4">
        <v>45881</v>
      </c>
      <c r="B226" s="1" t="str">
        <f t="shared" si="7"/>
        <v>12/08/25 Martes</v>
      </c>
      <c r="C226" s="1" t="s">
        <v>9</v>
      </c>
      <c r="D226">
        <v>253</v>
      </c>
      <c r="E226" s="1">
        <v>48</v>
      </c>
      <c r="F226" s="2">
        <v>48</v>
      </c>
      <c r="G226" s="2">
        <v>0</v>
      </c>
      <c r="H226" s="2">
        <v>48</v>
      </c>
      <c r="I226" s="1">
        <v>0</v>
      </c>
    </row>
    <row r="227" spans="1:9" ht="15" x14ac:dyDescent="0.25">
      <c r="A227" s="4">
        <v>45881</v>
      </c>
      <c r="B227" s="1" t="str">
        <f t="shared" si="7"/>
        <v>12/08/25 Martes</v>
      </c>
      <c r="C227" s="1" t="s">
        <v>10</v>
      </c>
      <c r="D227">
        <v>945</v>
      </c>
      <c r="E227" s="1">
        <v>857</v>
      </c>
      <c r="F227" s="2">
        <v>600</v>
      </c>
      <c r="G227" s="2">
        <v>257</v>
      </c>
      <c r="H227" s="2">
        <v>591</v>
      </c>
      <c r="I227" s="1">
        <v>9</v>
      </c>
    </row>
    <row r="228" spans="1:9" ht="15" x14ac:dyDescent="0.25">
      <c r="A228" s="4">
        <v>45881</v>
      </c>
      <c r="B228" s="1" t="str">
        <f t="shared" si="7"/>
        <v>12/08/25 Martes</v>
      </c>
      <c r="C228" s="1" t="s">
        <v>11</v>
      </c>
      <c r="D228">
        <v>708</v>
      </c>
      <c r="E228" s="1">
        <v>872</v>
      </c>
      <c r="F228" s="2">
        <v>815</v>
      </c>
      <c r="G228" s="2">
        <v>57</v>
      </c>
      <c r="H228" s="2">
        <v>806</v>
      </c>
      <c r="I228" s="1">
        <v>9</v>
      </c>
    </row>
    <row r="229" spans="1:9" ht="15" x14ac:dyDescent="0.25">
      <c r="A229" s="4">
        <v>45881</v>
      </c>
      <c r="B229" s="1" t="str">
        <f t="shared" si="7"/>
        <v>12/08/25 Martes</v>
      </c>
      <c r="C229" s="1" t="s">
        <v>13</v>
      </c>
      <c r="D229">
        <v>510</v>
      </c>
      <c r="E229" s="1">
        <v>950</v>
      </c>
      <c r="F229" s="2">
        <v>652</v>
      </c>
      <c r="G229" s="2">
        <v>298</v>
      </c>
      <c r="H229" s="2">
        <v>643</v>
      </c>
      <c r="I229" s="1">
        <v>9</v>
      </c>
    </row>
    <row r="230" spans="1:9" ht="15" x14ac:dyDescent="0.25">
      <c r="A230" s="4">
        <v>45882</v>
      </c>
      <c r="B230" s="1" t="str">
        <f t="shared" si="7"/>
        <v>13/08/25 Miércoles</v>
      </c>
      <c r="C230" s="1" t="s">
        <v>8</v>
      </c>
      <c r="D230">
        <v>694</v>
      </c>
      <c r="E230" s="1">
        <v>1350</v>
      </c>
      <c r="F230" s="2">
        <v>1013</v>
      </c>
      <c r="G230" s="2">
        <v>337</v>
      </c>
      <c r="H230" s="2">
        <v>934</v>
      </c>
      <c r="I230" s="1">
        <v>79</v>
      </c>
    </row>
    <row r="231" spans="1:9" ht="15" x14ac:dyDescent="0.25">
      <c r="A231" s="4">
        <v>45882</v>
      </c>
      <c r="B231" s="1" t="str">
        <f t="shared" si="7"/>
        <v>13/08/25 Miércoles</v>
      </c>
      <c r="C231" s="1" t="s">
        <v>9</v>
      </c>
      <c r="D231">
        <v>48</v>
      </c>
      <c r="E231" s="1">
        <v>254</v>
      </c>
      <c r="F231" s="2">
        <v>253</v>
      </c>
      <c r="G231" s="2">
        <v>1</v>
      </c>
      <c r="H231" s="2">
        <v>248</v>
      </c>
      <c r="I231" s="1">
        <v>5</v>
      </c>
    </row>
    <row r="232" spans="1:9" ht="15" x14ac:dyDescent="0.25">
      <c r="A232" s="4">
        <v>45882</v>
      </c>
      <c r="B232" s="1" t="str">
        <f t="shared" si="7"/>
        <v>13/08/25 Miércoles</v>
      </c>
      <c r="C232" s="1" t="s">
        <v>10</v>
      </c>
      <c r="D232">
        <v>697</v>
      </c>
      <c r="E232" s="1">
        <v>1150</v>
      </c>
      <c r="F232" s="2">
        <v>971</v>
      </c>
      <c r="G232" s="2">
        <v>179</v>
      </c>
      <c r="H232" s="2">
        <v>918</v>
      </c>
      <c r="I232" s="1">
        <v>53</v>
      </c>
    </row>
    <row r="233" spans="1:9" ht="15" x14ac:dyDescent="0.25">
      <c r="A233" s="4">
        <v>45882</v>
      </c>
      <c r="B233" s="1" t="str">
        <f t="shared" si="7"/>
        <v>13/08/25 Miércoles</v>
      </c>
      <c r="C233" s="1" t="s">
        <v>11</v>
      </c>
      <c r="D233">
        <v>951</v>
      </c>
      <c r="E233" s="1">
        <v>973</v>
      </c>
      <c r="F233" s="2">
        <v>973</v>
      </c>
      <c r="G233" s="2">
        <v>0</v>
      </c>
      <c r="H233" s="2">
        <v>965</v>
      </c>
      <c r="I233" s="1">
        <v>8</v>
      </c>
    </row>
    <row r="234" spans="1:9" ht="15" x14ac:dyDescent="0.25">
      <c r="A234" s="4">
        <v>45882</v>
      </c>
      <c r="B234" s="1" t="str">
        <f t="shared" si="7"/>
        <v>13/08/25 Miércoles</v>
      </c>
      <c r="C234" s="1" t="s">
        <v>12</v>
      </c>
      <c r="D234">
        <v>452</v>
      </c>
      <c r="E234" s="1">
        <v>828</v>
      </c>
      <c r="F234" s="2">
        <v>604</v>
      </c>
      <c r="G234" s="2">
        <v>224</v>
      </c>
      <c r="H234" s="2">
        <v>539</v>
      </c>
      <c r="I234" s="1">
        <v>65</v>
      </c>
    </row>
    <row r="235" spans="1:9" ht="15" x14ac:dyDescent="0.25">
      <c r="A235" s="4">
        <v>45882</v>
      </c>
      <c r="B235" s="1" t="str">
        <f t="shared" si="7"/>
        <v>13/08/25 Miércoles</v>
      </c>
      <c r="C235" s="1" t="s">
        <v>13</v>
      </c>
      <c r="D235">
        <v>896</v>
      </c>
      <c r="E235" s="1">
        <v>565</v>
      </c>
      <c r="F235" s="2">
        <v>465</v>
      </c>
      <c r="G235" s="2">
        <v>100</v>
      </c>
      <c r="H235" s="2">
        <v>441</v>
      </c>
      <c r="I235" s="1">
        <v>24</v>
      </c>
    </row>
    <row r="236" spans="1:9" ht="15" x14ac:dyDescent="0.25">
      <c r="A236" s="4">
        <v>45882</v>
      </c>
      <c r="B236" s="1" t="str">
        <f t="shared" si="7"/>
        <v>13/08/25 Miércoles</v>
      </c>
      <c r="C236" s="1" t="s">
        <v>14</v>
      </c>
      <c r="D236">
        <v>1099</v>
      </c>
      <c r="E236" s="1">
        <v>788</v>
      </c>
      <c r="F236" s="2">
        <v>415</v>
      </c>
      <c r="G236" s="2">
        <v>373</v>
      </c>
      <c r="H236" s="2">
        <v>348</v>
      </c>
      <c r="I236" s="1">
        <v>67</v>
      </c>
    </row>
    <row r="237" spans="1:9" ht="15" x14ac:dyDescent="0.25">
      <c r="A237" s="4">
        <v>45882</v>
      </c>
      <c r="B237" s="1" t="str">
        <f t="shared" si="7"/>
        <v>13/08/25 Miércoles</v>
      </c>
      <c r="C237" s="1" t="s">
        <v>15</v>
      </c>
      <c r="D237">
        <v>663</v>
      </c>
      <c r="E237" s="1">
        <v>822</v>
      </c>
      <c r="F237" s="2">
        <v>508</v>
      </c>
      <c r="G237" s="2">
        <v>314</v>
      </c>
      <c r="H237" s="2">
        <v>472</v>
      </c>
      <c r="I237" s="1">
        <v>36</v>
      </c>
    </row>
    <row r="238" spans="1:9" ht="15" x14ac:dyDescent="0.25">
      <c r="A238" s="4">
        <v>45883</v>
      </c>
      <c r="B238" s="1" t="str">
        <f t="shared" si="7"/>
        <v>14/08/25 Jueves</v>
      </c>
      <c r="C238" s="1" t="s">
        <v>8</v>
      </c>
      <c r="D238">
        <v>693</v>
      </c>
      <c r="E238" s="1">
        <v>337</v>
      </c>
      <c r="F238" s="2">
        <v>218</v>
      </c>
      <c r="G238" s="2">
        <v>119</v>
      </c>
      <c r="H238" s="2">
        <v>194</v>
      </c>
      <c r="I238" s="1">
        <v>24</v>
      </c>
    </row>
    <row r="239" spans="1:9" ht="15" x14ac:dyDescent="0.25">
      <c r="A239" s="4">
        <v>45883</v>
      </c>
      <c r="B239" s="1" t="str">
        <f t="shared" si="7"/>
        <v>14/08/25 Jueves</v>
      </c>
      <c r="C239" s="1" t="s">
        <v>9</v>
      </c>
      <c r="D239">
        <v>253</v>
      </c>
      <c r="E239" s="1">
        <v>52</v>
      </c>
      <c r="F239" s="2">
        <v>52</v>
      </c>
      <c r="G239" s="2">
        <v>0</v>
      </c>
      <c r="H239" s="2">
        <v>52</v>
      </c>
      <c r="I239" s="1">
        <v>0</v>
      </c>
    </row>
    <row r="240" spans="1:9" ht="15" x14ac:dyDescent="0.25">
      <c r="A240" s="4">
        <v>45883</v>
      </c>
      <c r="B240" s="1" t="str">
        <f t="shared" si="7"/>
        <v>14/08/25 Jueves</v>
      </c>
      <c r="C240" s="1" t="s">
        <v>10</v>
      </c>
      <c r="D240">
        <v>945</v>
      </c>
      <c r="E240" s="1">
        <v>691</v>
      </c>
      <c r="F240" s="2">
        <v>577</v>
      </c>
      <c r="G240" s="2">
        <v>114</v>
      </c>
      <c r="H240" s="2">
        <v>564</v>
      </c>
      <c r="I240" s="1">
        <v>13</v>
      </c>
    </row>
    <row r="241" spans="1:9" ht="15" x14ac:dyDescent="0.25">
      <c r="A241" s="4">
        <v>45883</v>
      </c>
      <c r="B241" s="1" t="str">
        <f t="shared" si="7"/>
        <v>14/08/25 Jueves</v>
      </c>
      <c r="C241" s="1" t="s">
        <v>11</v>
      </c>
      <c r="D241">
        <v>708</v>
      </c>
      <c r="E241" s="1">
        <v>873</v>
      </c>
      <c r="F241" s="2">
        <v>873</v>
      </c>
      <c r="G241" s="2">
        <v>0</v>
      </c>
      <c r="H241" s="2">
        <v>864</v>
      </c>
      <c r="I241" s="1">
        <v>9</v>
      </c>
    </row>
    <row r="242" spans="1:9" ht="15" x14ac:dyDescent="0.25">
      <c r="A242" s="4">
        <v>45883</v>
      </c>
      <c r="B242" s="1" t="str">
        <f t="shared" si="7"/>
        <v>14/08/25 Jueves</v>
      </c>
      <c r="C242" s="1" t="s">
        <v>12</v>
      </c>
      <c r="D242">
        <v>935</v>
      </c>
      <c r="E242" s="1">
        <v>947</v>
      </c>
      <c r="F242" s="2">
        <v>800</v>
      </c>
      <c r="G242" s="2">
        <v>147</v>
      </c>
      <c r="H242" s="2">
        <v>715</v>
      </c>
      <c r="I242" s="1">
        <v>85</v>
      </c>
    </row>
    <row r="243" spans="1:9" ht="15" x14ac:dyDescent="0.25">
      <c r="A243" s="4">
        <v>45883</v>
      </c>
      <c r="B243" s="1" t="str">
        <f t="shared" si="7"/>
        <v>14/08/25 Jueves</v>
      </c>
      <c r="C243" s="1" t="s">
        <v>13</v>
      </c>
      <c r="D243">
        <v>474</v>
      </c>
      <c r="E243" s="1">
        <v>1319</v>
      </c>
      <c r="F243" s="2">
        <v>1011</v>
      </c>
      <c r="G243" s="2">
        <v>308</v>
      </c>
      <c r="H243" s="2">
        <v>979</v>
      </c>
      <c r="I243" s="1">
        <v>32</v>
      </c>
    </row>
    <row r="244" spans="1:9" ht="15" x14ac:dyDescent="0.25">
      <c r="A244" s="4">
        <v>45883</v>
      </c>
      <c r="B244" s="1" t="str">
        <f t="shared" si="7"/>
        <v>14/08/25 Jueves</v>
      </c>
      <c r="C244" s="1" t="s">
        <v>14</v>
      </c>
      <c r="D244">
        <v>286</v>
      </c>
      <c r="E244" s="1">
        <v>1044</v>
      </c>
      <c r="F244" s="2">
        <v>935</v>
      </c>
      <c r="G244" s="2">
        <v>109</v>
      </c>
      <c r="H244" s="2">
        <v>850</v>
      </c>
      <c r="I244" s="1">
        <v>85</v>
      </c>
    </row>
    <row r="245" spans="1:9" ht="15" x14ac:dyDescent="0.25">
      <c r="A245" s="4">
        <v>45883</v>
      </c>
      <c r="B245" s="1" t="str">
        <f t="shared" si="7"/>
        <v>14/08/25 Jueves</v>
      </c>
      <c r="C245" s="1" t="s">
        <v>15</v>
      </c>
      <c r="D245">
        <v>737</v>
      </c>
      <c r="E245" s="1">
        <v>1001</v>
      </c>
      <c r="F245" s="2">
        <v>654</v>
      </c>
      <c r="G245" s="2">
        <v>347</v>
      </c>
      <c r="H245" s="2">
        <v>590</v>
      </c>
      <c r="I245" s="1">
        <v>64</v>
      </c>
    </row>
    <row r="246" spans="1:9" ht="15" x14ac:dyDescent="0.25">
      <c r="A246" s="4">
        <v>45884</v>
      </c>
      <c r="B246" s="1" t="str">
        <f t="shared" si="7"/>
        <v>15/08/25 Viernes</v>
      </c>
      <c r="C246" s="1" t="s">
        <v>8</v>
      </c>
      <c r="D246">
        <v>694</v>
      </c>
      <c r="E246" s="1">
        <v>1278</v>
      </c>
      <c r="F246" s="2">
        <v>1113</v>
      </c>
      <c r="G246" s="2">
        <v>165</v>
      </c>
      <c r="H246" s="2">
        <v>634</v>
      </c>
      <c r="I246" s="1">
        <v>479</v>
      </c>
    </row>
    <row r="247" spans="1:9" ht="15" x14ac:dyDescent="0.25">
      <c r="A247" s="4">
        <v>45884</v>
      </c>
      <c r="B247" s="1" t="str">
        <f t="shared" si="7"/>
        <v>15/08/25 Viernes</v>
      </c>
      <c r="C247" s="1" t="s">
        <v>9</v>
      </c>
      <c r="D247">
        <v>48</v>
      </c>
      <c r="E247" s="1">
        <v>253</v>
      </c>
      <c r="F247" s="2">
        <v>253</v>
      </c>
      <c r="G247" s="2">
        <v>0</v>
      </c>
      <c r="H247" s="2">
        <v>250</v>
      </c>
      <c r="I247" s="1">
        <v>3</v>
      </c>
    </row>
    <row r="248" spans="1:9" ht="15" x14ac:dyDescent="0.25">
      <c r="A248" s="4">
        <v>45884</v>
      </c>
      <c r="B248" s="1" t="str">
        <f t="shared" si="7"/>
        <v>15/08/25 Viernes</v>
      </c>
      <c r="C248" s="1" t="s">
        <v>10</v>
      </c>
      <c r="D248">
        <v>697</v>
      </c>
      <c r="E248" s="1">
        <v>1182</v>
      </c>
      <c r="F248" s="2">
        <v>1108</v>
      </c>
      <c r="G248" s="2">
        <v>74</v>
      </c>
      <c r="H248" s="2">
        <v>1026</v>
      </c>
      <c r="I248" s="1">
        <v>82</v>
      </c>
    </row>
    <row r="249" spans="1:9" ht="15" x14ac:dyDescent="0.25">
      <c r="A249" s="4">
        <v>45884</v>
      </c>
      <c r="B249" s="1" t="str">
        <f t="shared" si="7"/>
        <v>15/08/25 Viernes</v>
      </c>
      <c r="C249" s="1" t="s">
        <v>11</v>
      </c>
      <c r="D249">
        <v>951</v>
      </c>
      <c r="E249" s="1">
        <v>939</v>
      </c>
      <c r="F249" s="2">
        <v>936</v>
      </c>
      <c r="G249" s="2">
        <v>3</v>
      </c>
      <c r="H249" s="2">
        <v>925</v>
      </c>
      <c r="I249" s="1">
        <v>11</v>
      </c>
    </row>
    <row r="250" spans="1:9" ht="15" x14ac:dyDescent="0.25">
      <c r="A250" s="4">
        <v>45884</v>
      </c>
      <c r="B250" s="1" t="str">
        <f t="shared" si="7"/>
        <v>15/08/25 Viernes</v>
      </c>
      <c r="C250" s="1" t="s">
        <v>12</v>
      </c>
      <c r="D250">
        <v>452</v>
      </c>
      <c r="E250" s="1">
        <v>520</v>
      </c>
      <c r="F250" s="2">
        <v>480</v>
      </c>
      <c r="G250" s="2">
        <v>40</v>
      </c>
      <c r="H250" s="2">
        <v>339</v>
      </c>
      <c r="I250" s="1">
        <v>141</v>
      </c>
    </row>
    <row r="251" spans="1:9" ht="15" x14ac:dyDescent="0.25">
      <c r="A251" s="4">
        <v>45884</v>
      </c>
      <c r="B251" s="1" t="str">
        <f t="shared" si="7"/>
        <v>15/08/25 Viernes</v>
      </c>
      <c r="C251" s="1" t="s">
        <v>13</v>
      </c>
      <c r="D251">
        <v>926</v>
      </c>
      <c r="E251" s="1">
        <v>952</v>
      </c>
      <c r="F251" s="2">
        <v>847</v>
      </c>
      <c r="G251" s="2">
        <v>105</v>
      </c>
      <c r="H251" s="2">
        <v>682</v>
      </c>
      <c r="I251" s="1">
        <v>165</v>
      </c>
    </row>
    <row r="252" spans="1:9" ht="15" x14ac:dyDescent="0.25">
      <c r="A252" s="4">
        <v>45884</v>
      </c>
      <c r="B252" s="1" t="str">
        <f t="shared" si="7"/>
        <v>15/08/25 Viernes</v>
      </c>
      <c r="C252" s="1" t="s">
        <v>14</v>
      </c>
      <c r="D252">
        <v>1099</v>
      </c>
      <c r="E252" s="1">
        <v>638</v>
      </c>
      <c r="F252" s="2">
        <v>545</v>
      </c>
      <c r="G252" s="2">
        <v>93</v>
      </c>
      <c r="H252" s="2">
        <v>246</v>
      </c>
      <c r="I252" s="1">
        <v>299</v>
      </c>
    </row>
    <row r="253" spans="1:9" ht="15" x14ac:dyDescent="0.25">
      <c r="A253" s="4">
        <v>45884</v>
      </c>
      <c r="B253" s="1" t="str">
        <f t="shared" si="7"/>
        <v>15/08/25 Viernes</v>
      </c>
      <c r="C253" s="1" t="s">
        <v>15</v>
      </c>
      <c r="D253">
        <v>663</v>
      </c>
      <c r="E253" s="1">
        <v>665</v>
      </c>
      <c r="F253" s="2">
        <v>608</v>
      </c>
      <c r="G253" s="2">
        <v>57</v>
      </c>
      <c r="H253" s="2">
        <v>389</v>
      </c>
      <c r="I253" s="1">
        <v>219</v>
      </c>
    </row>
    <row r="254" spans="1:9" ht="15" x14ac:dyDescent="0.25">
      <c r="A254" s="4">
        <v>45885</v>
      </c>
      <c r="B254" s="1" t="str">
        <f t="shared" si="7"/>
        <v>16/08/25 Sábado</v>
      </c>
      <c r="C254" s="1" t="s">
        <v>8</v>
      </c>
      <c r="D254">
        <v>693</v>
      </c>
      <c r="E254" s="1">
        <v>833</v>
      </c>
      <c r="F254" s="2">
        <v>667</v>
      </c>
      <c r="G254" s="2">
        <v>166</v>
      </c>
      <c r="H254" s="2">
        <v>608</v>
      </c>
      <c r="I254" s="1">
        <v>59</v>
      </c>
    </row>
    <row r="255" spans="1:9" ht="15" x14ac:dyDescent="0.25">
      <c r="A255" s="4">
        <v>45885</v>
      </c>
      <c r="B255" s="1" t="str">
        <f t="shared" si="7"/>
        <v>16/08/25 Sábado</v>
      </c>
      <c r="C255" s="1" t="s">
        <v>10</v>
      </c>
      <c r="D255">
        <v>0</v>
      </c>
      <c r="E255" s="1">
        <v>190</v>
      </c>
      <c r="F255" s="2">
        <v>190</v>
      </c>
      <c r="G255" s="2">
        <v>0</v>
      </c>
      <c r="H255" s="2">
        <v>184</v>
      </c>
      <c r="I255" s="1">
        <v>6</v>
      </c>
    </row>
    <row r="256" spans="1:9" ht="15" x14ac:dyDescent="0.25">
      <c r="A256" s="4">
        <v>45885</v>
      </c>
      <c r="B256" s="1" t="str">
        <f t="shared" si="7"/>
        <v>16/08/25 Sábado</v>
      </c>
      <c r="C256" s="1" t="s">
        <v>12</v>
      </c>
      <c r="D256">
        <v>935</v>
      </c>
      <c r="E256" s="1">
        <v>733</v>
      </c>
      <c r="F256" s="2">
        <v>567</v>
      </c>
      <c r="G256" s="2">
        <v>166</v>
      </c>
      <c r="H256" s="2">
        <v>503</v>
      </c>
      <c r="I256" s="1">
        <v>64</v>
      </c>
    </row>
    <row r="257" spans="1:9" ht="15" x14ac:dyDescent="0.25">
      <c r="A257" s="4">
        <v>45885</v>
      </c>
      <c r="B257" s="1" t="str">
        <f t="shared" si="7"/>
        <v>16/08/25 Sábado</v>
      </c>
      <c r="C257" s="1" t="s">
        <v>13</v>
      </c>
      <c r="D257">
        <v>288</v>
      </c>
      <c r="E257" s="1">
        <v>186</v>
      </c>
      <c r="F257" s="2">
        <v>126</v>
      </c>
      <c r="G257" s="2">
        <v>60</v>
      </c>
      <c r="H257" s="2">
        <v>112</v>
      </c>
      <c r="I257" s="1">
        <v>14</v>
      </c>
    </row>
    <row r="258" spans="1:9" ht="15" x14ac:dyDescent="0.25">
      <c r="A258" s="4">
        <v>45885</v>
      </c>
      <c r="B258" s="1" t="str">
        <f t="shared" si="7"/>
        <v>16/08/25 Sábado</v>
      </c>
      <c r="C258" s="1" t="s">
        <v>14</v>
      </c>
      <c r="D258">
        <v>286</v>
      </c>
      <c r="E258" s="1">
        <v>1057</v>
      </c>
      <c r="F258" s="2">
        <v>690</v>
      </c>
      <c r="G258" s="2">
        <v>367</v>
      </c>
      <c r="H258" s="2">
        <v>633</v>
      </c>
      <c r="I258" s="1">
        <v>57</v>
      </c>
    </row>
    <row r="259" spans="1:9" ht="15" x14ac:dyDescent="0.25">
      <c r="A259" s="4">
        <v>45885</v>
      </c>
      <c r="B259" s="1" t="str">
        <f t="shared" ref="B259:B322" si="8">PROPER(TEXT(A259,"[$-es-ES]dd/mm/yy dddd"))</f>
        <v>16/08/25 Sábado</v>
      </c>
      <c r="C259" s="1" t="s">
        <v>15</v>
      </c>
      <c r="D259">
        <v>737</v>
      </c>
      <c r="E259" s="1">
        <v>864</v>
      </c>
      <c r="F259" s="2">
        <v>748</v>
      </c>
      <c r="G259" s="2">
        <v>116</v>
      </c>
      <c r="H259" s="2">
        <v>693</v>
      </c>
      <c r="I259" s="1">
        <v>55</v>
      </c>
    </row>
    <row r="260" spans="1:9" ht="15" x14ac:dyDescent="0.25">
      <c r="A260" s="4">
        <v>45886</v>
      </c>
      <c r="B260" s="1" t="str">
        <f t="shared" si="8"/>
        <v>17/08/25 Domingo</v>
      </c>
      <c r="C260" s="1" t="s">
        <v>8</v>
      </c>
      <c r="D260">
        <v>138</v>
      </c>
      <c r="E260" s="1">
        <v>112</v>
      </c>
      <c r="F260" s="2">
        <v>85</v>
      </c>
      <c r="G260" s="2">
        <v>27</v>
      </c>
      <c r="H260" s="2">
        <v>74</v>
      </c>
      <c r="I260" s="1">
        <v>11</v>
      </c>
    </row>
    <row r="261" spans="1:9" ht="15" x14ac:dyDescent="0.25">
      <c r="A261" s="4">
        <v>45886</v>
      </c>
      <c r="B261" s="1" t="str">
        <f t="shared" si="8"/>
        <v>17/08/25 Domingo</v>
      </c>
      <c r="C261" s="1" t="s">
        <v>9</v>
      </c>
      <c r="D261">
        <v>301</v>
      </c>
      <c r="E261" s="1">
        <v>51</v>
      </c>
      <c r="F261" s="2">
        <v>51</v>
      </c>
      <c r="G261" s="2">
        <v>0</v>
      </c>
      <c r="H261" s="2">
        <v>50</v>
      </c>
      <c r="I261" s="1">
        <v>1</v>
      </c>
    </row>
    <row r="262" spans="1:9" ht="15" x14ac:dyDescent="0.25">
      <c r="A262" s="4">
        <v>45886</v>
      </c>
      <c r="B262" s="1" t="str">
        <f t="shared" si="8"/>
        <v>17/08/25 Domingo</v>
      </c>
      <c r="C262" s="1" t="s">
        <v>10</v>
      </c>
      <c r="D262">
        <v>945</v>
      </c>
      <c r="E262" s="1">
        <v>545</v>
      </c>
      <c r="F262" s="2">
        <v>528</v>
      </c>
      <c r="G262" s="2">
        <v>17</v>
      </c>
      <c r="H262" s="2">
        <v>518</v>
      </c>
      <c r="I262" s="1">
        <v>10</v>
      </c>
    </row>
    <row r="263" spans="1:9" ht="15" x14ac:dyDescent="0.25">
      <c r="A263" s="4">
        <v>45886</v>
      </c>
      <c r="B263" s="1" t="str">
        <f t="shared" si="8"/>
        <v>17/08/25 Domingo</v>
      </c>
      <c r="C263" s="1" t="s">
        <v>11</v>
      </c>
      <c r="D263">
        <v>1659</v>
      </c>
      <c r="E263" s="1">
        <v>1163</v>
      </c>
      <c r="F263" s="2">
        <v>1136</v>
      </c>
      <c r="G263" s="2">
        <v>27</v>
      </c>
      <c r="H263" s="2">
        <v>1127</v>
      </c>
      <c r="I263" s="1">
        <v>9</v>
      </c>
    </row>
    <row r="264" spans="1:9" ht="15" x14ac:dyDescent="0.25">
      <c r="A264" s="4">
        <v>45886</v>
      </c>
      <c r="B264" s="1" t="str">
        <f t="shared" si="8"/>
        <v>17/08/25 Domingo</v>
      </c>
      <c r="C264" s="1" t="s">
        <v>12</v>
      </c>
      <c r="D264">
        <v>452</v>
      </c>
      <c r="E264" s="1">
        <v>668</v>
      </c>
      <c r="F264" s="2">
        <v>495</v>
      </c>
      <c r="G264" s="2">
        <v>173</v>
      </c>
      <c r="H264" s="2">
        <v>462</v>
      </c>
      <c r="I264" s="1">
        <v>33</v>
      </c>
    </row>
    <row r="265" spans="1:9" ht="15" x14ac:dyDescent="0.25">
      <c r="A265" s="4">
        <v>45886</v>
      </c>
      <c r="B265" s="1" t="str">
        <f t="shared" si="8"/>
        <v>17/08/25 Domingo</v>
      </c>
      <c r="C265" s="1" t="s">
        <v>13</v>
      </c>
      <c r="D265">
        <v>378</v>
      </c>
      <c r="E265" s="1">
        <v>673</v>
      </c>
      <c r="F265" s="2">
        <v>587</v>
      </c>
      <c r="G265" s="2">
        <v>86</v>
      </c>
      <c r="H265" s="2">
        <v>570</v>
      </c>
      <c r="I265" s="1">
        <v>17</v>
      </c>
    </row>
    <row r="266" spans="1:9" ht="15" x14ac:dyDescent="0.25">
      <c r="A266" s="4">
        <v>45886</v>
      </c>
      <c r="B266" s="1" t="str">
        <f t="shared" si="8"/>
        <v>17/08/25 Domingo</v>
      </c>
      <c r="C266" s="1" t="s">
        <v>14</v>
      </c>
      <c r="D266">
        <v>36</v>
      </c>
      <c r="E266" s="1">
        <v>373</v>
      </c>
      <c r="F266" s="2">
        <v>319</v>
      </c>
      <c r="G266" s="2">
        <v>54</v>
      </c>
      <c r="H266" s="2">
        <v>295</v>
      </c>
      <c r="I266" s="1">
        <v>24</v>
      </c>
    </row>
    <row r="267" spans="1:9" ht="15" x14ac:dyDescent="0.25">
      <c r="A267" s="4">
        <v>45886</v>
      </c>
      <c r="B267" s="1" t="str">
        <f t="shared" si="8"/>
        <v>17/08/25 Domingo</v>
      </c>
      <c r="C267" s="1" t="s">
        <v>15</v>
      </c>
      <c r="D267">
        <v>0</v>
      </c>
      <c r="E267" s="1">
        <v>330</v>
      </c>
      <c r="F267" s="2">
        <v>279</v>
      </c>
      <c r="G267" s="2">
        <v>51</v>
      </c>
      <c r="H267" s="2">
        <v>260</v>
      </c>
      <c r="I267" s="1">
        <v>19</v>
      </c>
    </row>
    <row r="268" spans="1:9" ht="15" x14ac:dyDescent="0.25">
      <c r="A268" s="4">
        <v>45887</v>
      </c>
      <c r="B268" s="1" t="str">
        <f t="shared" si="8"/>
        <v>18/08/25 Lunes</v>
      </c>
      <c r="C268" s="1" t="s">
        <v>8</v>
      </c>
      <c r="D268">
        <v>697</v>
      </c>
      <c r="E268" s="1">
        <v>1605</v>
      </c>
      <c r="F268" s="2">
        <v>929</v>
      </c>
      <c r="G268" s="2">
        <v>676</v>
      </c>
      <c r="H268" s="2">
        <v>857</v>
      </c>
      <c r="I268" s="1">
        <v>72</v>
      </c>
    </row>
    <row r="269" spans="1:9" ht="15" x14ac:dyDescent="0.25">
      <c r="A269" s="4">
        <v>45887</v>
      </c>
      <c r="B269" s="1" t="str">
        <f t="shared" si="8"/>
        <v>18/08/25 Lunes</v>
      </c>
      <c r="C269" s="1" t="s">
        <v>9</v>
      </c>
      <c r="D269">
        <v>48</v>
      </c>
      <c r="E269" s="1">
        <v>253</v>
      </c>
      <c r="F269" s="2">
        <v>152</v>
      </c>
      <c r="G269" s="2">
        <v>101</v>
      </c>
      <c r="H269" s="2">
        <v>111</v>
      </c>
      <c r="I269" s="1">
        <v>41</v>
      </c>
    </row>
    <row r="270" spans="1:9" ht="15" x14ac:dyDescent="0.25">
      <c r="A270" s="4">
        <v>45887</v>
      </c>
      <c r="B270" s="1" t="str">
        <f t="shared" si="8"/>
        <v>18/08/25 Lunes</v>
      </c>
      <c r="C270" s="1" t="s">
        <v>10</v>
      </c>
      <c r="D270">
        <v>697</v>
      </c>
      <c r="E270" s="1">
        <v>1159</v>
      </c>
      <c r="F270" s="2">
        <v>1058</v>
      </c>
      <c r="G270" s="2">
        <v>101</v>
      </c>
      <c r="H270" s="2">
        <v>836</v>
      </c>
      <c r="I270" s="1">
        <v>222</v>
      </c>
    </row>
    <row r="271" spans="1:9" ht="15" x14ac:dyDescent="0.25">
      <c r="A271" s="4">
        <v>45887</v>
      </c>
      <c r="B271" s="1" t="str">
        <f t="shared" si="8"/>
        <v>18/08/25 Lunes</v>
      </c>
      <c r="C271" s="1" t="s">
        <v>11</v>
      </c>
      <c r="D271">
        <v>832</v>
      </c>
      <c r="E271" s="1">
        <v>703</v>
      </c>
      <c r="F271" s="2">
        <v>682</v>
      </c>
      <c r="G271" s="2">
        <v>21</v>
      </c>
      <c r="H271" s="2">
        <v>665</v>
      </c>
      <c r="I271" s="1">
        <v>17</v>
      </c>
    </row>
    <row r="272" spans="1:9" ht="15" x14ac:dyDescent="0.25">
      <c r="A272" s="4">
        <v>45887</v>
      </c>
      <c r="B272" s="1" t="str">
        <f t="shared" si="8"/>
        <v>18/08/25 Lunes</v>
      </c>
      <c r="C272" s="1" t="s">
        <v>12</v>
      </c>
      <c r="D272">
        <v>352</v>
      </c>
      <c r="E272" s="1">
        <v>806</v>
      </c>
      <c r="F272" s="2">
        <v>392</v>
      </c>
      <c r="G272" s="2">
        <v>414</v>
      </c>
      <c r="H272" s="2">
        <v>351</v>
      </c>
      <c r="I272" s="1">
        <v>41</v>
      </c>
    </row>
    <row r="273" spans="1:9" ht="15" x14ac:dyDescent="0.25">
      <c r="A273" s="4">
        <v>45887</v>
      </c>
      <c r="B273" s="1" t="str">
        <f t="shared" si="8"/>
        <v>18/08/25 Lunes</v>
      </c>
      <c r="C273" s="1" t="s">
        <v>13</v>
      </c>
      <c r="D273">
        <v>926</v>
      </c>
      <c r="E273" s="1">
        <v>1390</v>
      </c>
      <c r="F273" s="2">
        <v>893</v>
      </c>
      <c r="G273" s="2">
        <v>497</v>
      </c>
      <c r="H273" s="2">
        <v>686</v>
      </c>
      <c r="I273" s="1">
        <v>207</v>
      </c>
    </row>
    <row r="274" spans="1:9" ht="15" x14ac:dyDescent="0.25">
      <c r="A274" s="4">
        <v>45887</v>
      </c>
      <c r="B274" s="1" t="str">
        <f t="shared" si="8"/>
        <v>18/08/25 Lunes</v>
      </c>
      <c r="C274" s="1" t="s">
        <v>14</v>
      </c>
      <c r="D274">
        <v>1099</v>
      </c>
      <c r="E274" s="1">
        <v>780</v>
      </c>
      <c r="F274" s="2">
        <v>567</v>
      </c>
      <c r="G274" s="2">
        <v>213</v>
      </c>
      <c r="H274" s="2">
        <v>507</v>
      </c>
      <c r="I274" s="1">
        <v>60</v>
      </c>
    </row>
    <row r="275" spans="1:9" ht="15" x14ac:dyDescent="0.25">
      <c r="A275" s="4">
        <v>45887</v>
      </c>
      <c r="B275" s="1" t="str">
        <f t="shared" si="8"/>
        <v>18/08/25 Lunes</v>
      </c>
      <c r="C275" s="1" t="s">
        <v>15</v>
      </c>
      <c r="D275">
        <v>663</v>
      </c>
      <c r="E275" s="1">
        <v>927</v>
      </c>
      <c r="F275" s="2">
        <v>547</v>
      </c>
      <c r="G275" s="2">
        <v>380</v>
      </c>
      <c r="H275" s="2">
        <v>513</v>
      </c>
      <c r="I275" s="1">
        <v>34</v>
      </c>
    </row>
    <row r="276" spans="1:9" ht="15" x14ac:dyDescent="0.25">
      <c r="A276" s="4">
        <v>45888</v>
      </c>
      <c r="B276" s="1" t="str">
        <f t="shared" si="8"/>
        <v>19/08/25 Martes</v>
      </c>
      <c r="C276" s="1" t="s">
        <v>8</v>
      </c>
      <c r="D276">
        <v>690</v>
      </c>
      <c r="E276" s="1">
        <v>923</v>
      </c>
      <c r="F276" s="2">
        <v>399</v>
      </c>
      <c r="G276" s="2">
        <v>524</v>
      </c>
      <c r="H276" s="2">
        <v>370</v>
      </c>
      <c r="I276" s="1">
        <v>29</v>
      </c>
    </row>
    <row r="277" spans="1:9" ht="15" x14ac:dyDescent="0.25">
      <c r="A277" s="4">
        <v>45888</v>
      </c>
      <c r="B277" s="1" t="str">
        <f t="shared" si="8"/>
        <v>19/08/25 Martes</v>
      </c>
      <c r="C277" s="1" t="s">
        <v>9</v>
      </c>
      <c r="D277">
        <v>253</v>
      </c>
      <c r="E277" s="1">
        <v>202</v>
      </c>
      <c r="F277" s="2">
        <v>187</v>
      </c>
      <c r="G277" s="2">
        <v>15</v>
      </c>
      <c r="H277" s="2">
        <v>177</v>
      </c>
      <c r="I277" s="1">
        <v>10</v>
      </c>
    </row>
    <row r="278" spans="1:9" ht="15" x14ac:dyDescent="0.25">
      <c r="A278" s="4">
        <v>45888</v>
      </c>
      <c r="B278" s="1" t="str">
        <f t="shared" si="8"/>
        <v>19/08/25 Martes</v>
      </c>
      <c r="C278" s="1" t="s">
        <v>10</v>
      </c>
      <c r="D278">
        <v>945</v>
      </c>
      <c r="E278" s="1">
        <v>432</v>
      </c>
      <c r="F278" s="2">
        <v>406</v>
      </c>
      <c r="G278" s="2">
        <v>26</v>
      </c>
      <c r="H278" s="2">
        <v>399</v>
      </c>
      <c r="I278" s="1">
        <v>7</v>
      </c>
    </row>
    <row r="279" spans="1:9" ht="15" x14ac:dyDescent="0.25">
      <c r="A279" s="4">
        <v>45888</v>
      </c>
      <c r="B279" s="1" t="str">
        <f t="shared" si="8"/>
        <v>19/08/25 Martes</v>
      </c>
      <c r="C279" s="1" t="s">
        <v>11</v>
      </c>
      <c r="D279">
        <v>951</v>
      </c>
      <c r="E279" s="1">
        <v>1070</v>
      </c>
      <c r="F279" s="2">
        <v>1042</v>
      </c>
      <c r="G279" s="2">
        <v>28</v>
      </c>
      <c r="H279" s="2">
        <v>1030</v>
      </c>
      <c r="I279" s="1">
        <v>12</v>
      </c>
    </row>
    <row r="280" spans="1:9" ht="15" x14ac:dyDescent="0.25">
      <c r="A280" s="4">
        <v>45888</v>
      </c>
      <c r="B280" s="1" t="str">
        <f t="shared" si="8"/>
        <v>19/08/25 Martes</v>
      </c>
      <c r="C280" s="1" t="s">
        <v>12</v>
      </c>
      <c r="D280">
        <v>1035</v>
      </c>
      <c r="E280" s="1">
        <v>1161</v>
      </c>
      <c r="F280" s="2">
        <v>610</v>
      </c>
      <c r="G280" s="2">
        <v>551</v>
      </c>
      <c r="H280" s="2">
        <v>536</v>
      </c>
      <c r="I280" s="1">
        <v>74</v>
      </c>
    </row>
    <row r="281" spans="1:9" ht="15" x14ac:dyDescent="0.25">
      <c r="A281" s="4">
        <v>45888</v>
      </c>
      <c r="B281" s="1" t="str">
        <f t="shared" si="8"/>
        <v>19/08/25 Martes</v>
      </c>
      <c r="C281" s="1" t="s">
        <v>13</v>
      </c>
      <c r="D281">
        <v>480</v>
      </c>
      <c r="E281" s="1">
        <v>820</v>
      </c>
      <c r="F281" s="2">
        <v>588</v>
      </c>
      <c r="G281" s="2">
        <v>232</v>
      </c>
      <c r="H281" s="2">
        <v>568</v>
      </c>
      <c r="I281" s="1">
        <v>20</v>
      </c>
    </row>
    <row r="282" spans="1:9" ht="15" x14ac:dyDescent="0.25">
      <c r="A282" s="4">
        <v>45888</v>
      </c>
      <c r="B282" s="1" t="str">
        <f t="shared" si="8"/>
        <v>19/08/25 Martes</v>
      </c>
      <c r="C282" s="1" t="s">
        <v>14</v>
      </c>
      <c r="D282">
        <v>286</v>
      </c>
      <c r="E282" s="1">
        <v>1345</v>
      </c>
      <c r="F282" s="2">
        <v>664</v>
      </c>
      <c r="G282" s="2">
        <v>681</v>
      </c>
      <c r="H282" s="2">
        <v>602</v>
      </c>
      <c r="I282" s="1">
        <v>62</v>
      </c>
    </row>
    <row r="283" spans="1:9" ht="15" x14ac:dyDescent="0.25">
      <c r="A283" s="4">
        <v>45888</v>
      </c>
      <c r="B283" s="1" t="str">
        <f t="shared" si="8"/>
        <v>19/08/25 Martes</v>
      </c>
      <c r="C283" s="1" t="s">
        <v>15</v>
      </c>
      <c r="D283">
        <v>737</v>
      </c>
      <c r="E283" s="1">
        <v>958</v>
      </c>
      <c r="F283" s="2">
        <v>690</v>
      </c>
      <c r="G283" s="2">
        <v>268</v>
      </c>
      <c r="H283" s="2">
        <v>635</v>
      </c>
      <c r="I283" s="1">
        <v>55</v>
      </c>
    </row>
    <row r="284" spans="1:9" ht="15" x14ac:dyDescent="0.25">
      <c r="A284" s="4">
        <v>45889</v>
      </c>
      <c r="B284" s="1" t="str">
        <f t="shared" si="8"/>
        <v>20/08/25 Miércoles</v>
      </c>
      <c r="C284" s="1" t="s">
        <v>8</v>
      </c>
      <c r="D284">
        <v>697</v>
      </c>
      <c r="E284" s="1">
        <v>965</v>
      </c>
      <c r="F284" s="2">
        <v>750</v>
      </c>
      <c r="G284" s="2">
        <v>215</v>
      </c>
      <c r="H284" s="2">
        <v>699</v>
      </c>
      <c r="I284" s="1">
        <v>51</v>
      </c>
    </row>
    <row r="285" spans="1:9" ht="15" x14ac:dyDescent="0.25">
      <c r="A285" s="4">
        <v>45889</v>
      </c>
      <c r="B285" s="1" t="str">
        <f t="shared" si="8"/>
        <v>20/08/25 Miércoles</v>
      </c>
      <c r="C285" s="1" t="s">
        <v>9</v>
      </c>
      <c r="D285">
        <v>48</v>
      </c>
      <c r="E285" s="1">
        <v>66</v>
      </c>
      <c r="F285" s="2">
        <v>66</v>
      </c>
      <c r="G285" s="2">
        <v>0</v>
      </c>
      <c r="H285" s="2">
        <v>62</v>
      </c>
      <c r="I285" s="1">
        <v>4</v>
      </c>
    </row>
    <row r="286" spans="1:9" ht="15" x14ac:dyDescent="0.25">
      <c r="A286" s="4">
        <v>45889</v>
      </c>
      <c r="B286" s="1" t="str">
        <f t="shared" si="8"/>
        <v>20/08/25 Miércoles</v>
      </c>
      <c r="C286" s="1" t="s">
        <v>10</v>
      </c>
      <c r="D286">
        <v>697</v>
      </c>
      <c r="E286" s="1">
        <v>1253</v>
      </c>
      <c r="F286" s="2">
        <v>1253</v>
      </c>
      <c r="G286" s="2">
        <v>0</v>
      </c>
      <c r="H286" s="2">
        <v>1242</v>
      </c>
      <c r="I286" s="1">
        <v>11</v>
      </c>
    </row>
    <row r="287" spans="1:9" ht="15" x14ac:dyDescent="0.25">
      <c r="A287" s="4">
        <v>45889</v>
      </c>
      <c r="B287" s="1" t="str">
        <f t="shared" si="8"/>
        <v>20/08/25 Miércoles</v>
      </c>
      <c r="C287" s="1" t="s">
        <v>11</v>
      </c>
      <c r="D287">
        <v>832</v>
      </c>
      <c r="E287" s="1">
        <v>804</v>
      </c>
      <c r="F287" s="2">
        <v>777</v>
      </c>
      <c r="G287" s="2">
        <v>27</v>
      </c>
      <c r="H287" s="2">
        <v>764</v>
      </c>
      <c r="I287" s="1">
        <v>13</v>
      </c>
    </row>
    <row r="288" spans="1:9" ht="15" x14ac:dyDescent="0.25">
      <c r="A288" s="4">
        <v>45889</v>
      </c>
      <c r="B288" s="1" t="str">
        <f t="shared" si="8"/>
        <v>20/08/25 Miércoles</v>
      </c>
      <c r="C288" s="1" t="s">
        <v>12</v>
      </c>
      <c r="D288">
        <v>352</v>
      </c>
      <c r="E288" s="1">
        <v>886</v>
      </c>
      <c r="F288" s="2">
        <v>809</v>
      </c>
      <c r="G288" s="2">
        <v>77</v>
      </c>
      <c r="H288" s="2">
        <v>747</v>
      </c>
      <c r="I288" s="1">
        <v>62</v>
      </c>
    </row>
    <row r="289" spans="1:9" ht="15" x14ac:dyDescent="0.25">
      <c r="A289" s="4">
        <v>45889</v>
      </c>
      <c r="B289" s="1" t="str">
        <f t="shared" si="8"/>
        <v>20/08/25 Miércoles</v>
      </c>
      <c r="C289" s="1" t="s">
        <v>13</v>
      </c>
      <c r="D289">
        <v>890</v>
      </c>
      <c r="E289" s="1">
        <v>978</v>
      </c>
      <c r="F289" s="2">
        <v>906</v>
      </c>
      <c r="G289" s="2">
        <v>72</v>
      </c>
      <c r="H289" s="2">
        <v>875</v>
      </c>
      <c r="I289" s="1">
        <v>31</v>
      </c>
    </row>
    <row r="290" spans="1:9" ht="15" x14ac:dyDescent="0.25">
      <c r="A290" s="4">
        <v>45889</v>
      </c>
      <c r="B290" s="1" t="str">
        <f t="shared" si="8"/>
        <v>20/08/25 Miércoles</v>
      </c>
      <c r="C290" s="1" t="s">
        <v>14</v>
      </c>
      <c r="D290">
        <v>1099</v>
      </c>
      <c r="E290" s="1">
        <v>873</v>
      </c>
      <c r="F290" s="2">
        <v>703</v>
      </c>
      <c r="G290" s="2">
        <v>170</v>
      </c>
      <c r="H290" s="2">
        <v>629</v>
      </c>
      <c r="I290" s="1">
        <v>74</v>
      </c>
    </row>
    <row r="291" spans="1:9" ht="15" x14ac:dyDescent="0.25">
      <c r="A291" s="4">
        <v>45889</v>
      </c>
      <c r="B291" s="1" t="str">
        <f t="shared" si="8"/>
        <v>20/08/25 Miércoles</v>
      </c>
      <c r="C291" s="1" t="s">
        <v>15</v>
      </c>
      <c r="D291">
        <v>663</v>
      </c>
      <c r="E291" s="1">
        <v>470</v>
      </c>
      <c r="F291" s="2">
        <v>457</v>
      </c>
      <c r="G291" s="2">
        <v>13</v>
      </c>
      <c r="H291" s="2">
        <v>395</v>
      </c>
      <c r="I291" s="1">
        <v>62</v>
      </c>
    </row>
    <row r="292" spans="1:9" ht="15" x14ac:dyDescent="0.25">
      <c r="A292" s="4">
        <v>45890</v>
      </c>
      <c r="B292" s="1" t="str">
        <f t="shared" si="8"/>
        <v>21/08/25 Jueves</v>
      </c>
      <c r="C292" s="1" t="s">
        <v>8</v>
      </c>
      <c r="D292">
        <v>690</v>
      </c>
      <c r="E292" s="1">
        <v>897</v>
      </c>
      <c r="F292" s="2">
        <v>758</v>
      </c>
      <c r="G292" s="2">
        <v>139</v>
      </c>
      <c r="H292" s="2">
        <v>691</v>
      </c>
      <c r="I292" s="1">
        <v>67</v>
      </c>
    </row>
    <row r="293" spans="1:9" ht="15" x14ac:dyDescent="0.25">
      <c r="A293" s="4">
        <v>45890</v>
      </c>
      <c r="B293" s="1" t="str">
        <f t="shared" si="8"/>
        <v>21/08/25 Jueves</v>
      </c>
      <c r="C293" s="1" t="s">
        <v>9</v>
      </c>
      <c r="D293">
        <v>253</v>
      </c>
      <c r="E293" s="1">
        <v>256</v>
      </c>
      <c r="F293" s="2">
        <v>243</v>
      </c>
      <c r="G293" s="2">
        <v>13</v>
      </c>
      <c r="H293" s="2">
        <v>236</v>
      </c>
      <c r="I293" s="1">
        <v>7</v>
      </c>
    </row>
    <row r="294" spans="1:9" ht="15" x14ac:dyDescent="0.25">
      <c r="A294" s="4">
        <v>45890</v>
      </c>
      <c r="B294" s="1" t="str">
        <f t="shared" si="8"/>
        <v>21/08/25 Jueves</v>
      </c>
      <c r="C294" s="1" t="s">
        <v>10</v>
      </c>
      <c r="D294">
        <v>945</v>
      </c>
      <c r="E294" s="1">
        <v>718</v>
      </c>
      <c r="F294" s="2">
        <v>603</v>
      </c>
      <c r="G294" s="2">
        <v>115</v>
      </c>
      <c r="H294" s="2">
        <v>599</v>
      </c>
      <c r="I294" s="1">
        <v>4</v>
      </c>
    </row>
    <row r="295" spans="1:9" ht="15" x14ac:dyDescent="0.25">
      <c r="A295" s="4">
        <v>45890</v>
      </c>
      <c r="B295" s="1" t="str">
        <f t="shared" si="8"/>
        <v>21/08/25 Jueves</v>
      </c>
      <c r="C295" s="1" t="s">
        <v>11</v>
      </c>
      <c r="D295">
        <v>951</v>
      </c>
      <c r="E295" s="1">
        <v>1162</v>
      </c>
      <c r="F295" s="2">
        <v>1134</v>
      </c>
      <c r="G295" s="2">
        <v>28</v>
      </c>
      <c r="H295" s="2">
        <v>1122</v>
      </c>
      <c r="I295" s="1">
        <v>12</v>
      </c>
    </row>
    <row r="296" spans="1:9" ht="15" x14ac:dyDescent="0.25">
      <c r="A296" s="4">
        <v>45890</v>
      </c>
      <c r="B296" s="1" t="str">
        <f t="shared" si="8"/>
        <v>21/08/25 Jueves</v>
      </c>
      <c r="C296" s="1" t="s">
        <v>12</v>
      </c>
      <c r="D296">
        <v>1035</v>
      </c>
      <c r="E296" s="1">
        <v>844</v>
      </c>
      <c r="F296" s="2">
        <v>711</v>
      </c>
      <c r="G296" s="2">
        <v>133</v>
      </c>
      <c r="H296" s="2">
        <v>623</v>
      </c>
      <c r="I296" s="1">
        <v>88</v>
      </c>
    </row>
    <row r="297" spans="1:9" ht="15" x14ac:dyDescent="0.25">
      <c r="A297" s="4">
        <v>45890</v>
      </c>
      <c r="B297" s="1" t="str">
        <f t="shared" si="8"/>
        <v>21/08/25 Jueves</v>
      </c>
      <c r="C297" s="1" t="s">
        <v>13</v>
      </c>
      <c r="D297">
        <v>510</v>
      </c>
      <c r="E297" s="1">
        <v>1056</v>
      </c>
      <c r="F297" s="2">
        <v>978</v>
      </c>
      <c r="G297" s="2">
        <v>78</v>
      </c>
      <c r="H297" s="2">
        <v>837</v>
      </c>
      <c r="I297" s="1">
        <v>141</v>
      </c>
    </row>
    <row r="298" spans="1:9" ht="15" x14ac:dyDescent="0.25">
      <c r="A298" s="4">
        <v>45890</v>
      </c>
      <c r="B298" s="1" t="str">
        <f t="shared" si="8"/>
        <v>21/08/25 Jueves</v>
      </c>
      <c r="C298" s="1" t="s">
        <v>14</v>
      </c>
      <c r="D298">
        <v>286</v>
      </c>
      <c r="E298" s="1">
        <v>780</v>
      </c>
      <c r="F298" s="2">
        <v>620</v>
      </c>
      <c r="G298" s="2">
        <v>160</v>
      </c>
      <c r="H298" s="2">
        <v>547</v>
      </c>
      <c r="I298" s="1">
        <v>73</v>
      </c>
    </row>
    <row r="299" spans="1:9" ht="15" x14ac:dyDescent="0.25">
      <c r="A299" s="4">
        <v>45890</v>
      </c>
      <c r="B299" s="1" t="str">
        <f t="shared" si="8"/>
        <v>21/08/25 Jueves</v>
      </c>
      <c r="C299" s="1" t="s">
        <v>15</v>
      </c>
      <c r="D299">
        <v>737</v>
      </c>
      <c r="E299" s="1">
        <v>855</v>
      </c>
      <c r="F299" s="2">
        <v>807</v>
      </c>
      <c r="G299" s="2">
        <v>48</v>
      </c>
      <c r="H299" s="2">
        <v>748</v>
      </c>
      <c r="I299" s="1">
        <v>59</v>
      </c>
    </row>
    <row r="300" spans="1:9" ht="15" x14ac:dyDescent="0.25">
      <c r="A300" s="4">
        <v>45891</v>
      </c>
      <c r="B300" s="1" t="str">
        <f t="shared" si="8"/>
        <v>22/08/25 Viernes</v>
      </c>
      <c r="C300" s="1" t="s">
        <v>8</v>
      </c>
      <c r="D300">
        <v>697</v>
      </c>
      <c r="E300" s="1">
        <v>757</v>
      </c>
      <c r="F300" s="2">
        <v>719</v>
      </c>
      <c r="G300" s="2">
        <v>38</v>
      </c>
      <c r="H300" s="2">
        <v>686</v>
      </c>
      <c r="I300" s="1">
        <v>33</v>
      </c>
    </row>
    <row r="301" spans="1:9" ht="15" x14ac:dyDescent="0.25">
      <c r="A301" s="4">
        <v>45891</v>
      </c>
      <c r="B301" s="1" t="str">
        <f t="shared" si="8"/>
        <v>22/08/25 Viernes</v>
      </c>
      <c r="C301" s="1" t="s">
        <v>9</v>
      </c>
      <c r="D301">
        <v>48</v>
      </c>
      <c r="E301" s="1">
        <v>64</v>
      </c>
      <c r="F301" s="2">
        <v>64</v>
      </c>
      <c r="G301" s="2">
        <v>0</v>
      </c>
      <c r="H301" s="2">
        <v>62</v>
      </c>
      <c r="I301" s="1">
        <v>2</v>
      </c>
    </row>
    <row r="302" spans="1:9" ht="15" x14ac:dyDescent="0.25">
      <c r="A302" s="4">
        <v>45891</v>
      </c>
      <c r="B302" s="1" t="str">
        <f t="shared" si="8"/>
        <v>22/08/25 Viernes</v>
      </c>
      <c r="C302" s="1" t="s">
        <v>10</v>
      </c>
      <c r="D302">
        <v>697</v>
      </c>
      <c r="E302" s="1">
        <v>1091</v>
      </c>
      <c r="F302" s="2">
        <v>1014</v>
      </c>
      <c r="G302" s="2">
        <v>77</v>
      </c>
      <c r="H302" s="2">
        <v>956</v>
      </c>
      <c r="I302" s="1">
        <v>58</v>
      </c>
    </row>
    <row r="303" spans="1:9" ht="15" x14ac:dyDescent="0.25">
      <c r="A303" s="4">
        <v>45891</v>
      </c>
      <c r="B303" s="1" t="str">
        <f t="shared" si="8"/>
        <v>22/08/25 Viernes</v>
      </c>
      <c r="C303" s="1" t="s">
        <v>11</v>
      </c>
      <c r="D303">
        <v>832</v>
      </c>
      <c r="E303" s="1">
        <v>699</v>
      </c>
      <c r="F303" s="2">
        <v>674</v>
      </c>
      <c r="G303" s="2">
        <v>25</v>
      </c>
      <c r="H303" s="2">
        <v>669</v>
      </c>
      <c r="I303" s="1">
        <v>5</v>
      </c>
    </row>
    <row r="304" spans="1:9" ht="15" x14ac:dyDescent="0.25">
      <c r="A304" s="4">
        <v>45891</v>
      </c>
      <c r="B304" s="1" t="str">
        <f t="shared" si="8"/>
        <v>22/08/25 Viernes</v>
      </c>
      <c r="C304" s="1" t="s">
        <v>12</v>
      </c>
      <c r="D304">
        <v>352</v>
      </c>
      <c r="E304" s="1">
        <v>982</v>
      </c>
      <c r="F304" s="2">
        <v>728</v>
      </c>
      <c r="G304" s="2">
        <v>254</v>
      </c>
      <c r="H304" s="2">
        <v>672</v>
      </c>
      <c r="I304" s="1">
        <v>56</v>
      </c>
    </row>
    <row r="305" spans="1:9" ht="15" x14ac:dyDescent="0.25">
      <c r="A305" s="4">
        <v>45891</v>
      </c>
      <c r="B305" s="1" t="str">
        <f t="shared" si="8"/>
        <v>22/08/25 Viernes</v>
      </c>
      <c r="C305" s="1" t="s">
        <v>13</v>
      </c>
      <c r="D305">
        <v>896</v>
      </c>
      <c r="E305" s="1">
        <v>914</v>
      </c>
      <c r="F305" s="2">
        <v>828</v>
      </c>
      <c r="G305" s="2">
        <v>86</v>
      </c>
      <c r="H305" s="2">
        <v>800</v>
      </c>
      <c r="I305" s="1">
        <v>28</v>
      </c>
    </row>
    <row r="306" spans="1:9" ht="15" x14ac:dyDescent="0.25">
      <c r="A306" s="4">
        <v>45891</v>
      </c>
      <c r="B306" s="1" t="str">
        <f t="shared" si="8"/>
        <v>22/08/25 Viernes</v>
      </c>
      <c r="C306" s="1" t="s">
        <v>14</v>
      </c>
      <c r="D306">
        <v>1099</v>
      </c>
      <c r="E306" s="1">
        <v>1091</v>
      </c>
      <c r="F306" s="2">
        <v>954</v>
      </c>
      <c r="G306" s="2">
        <v>137</v>
      </c>
      <c r="H306" s="2">
        <v>873</v>
      </c>
      <c r="I306" s="1">
        <v>81</v>
      </c>
    </row>
    <row r="307" spans="1:9" ht="15" x14ac:dyDescent="0.25">
      <c r="A307" s="4">
        <v>45891</v>
      </c>
      <c r="B307" s="1" t="str">
        <f t="shared" si="8"/>
        <v>22/08/25 Viernes</v>
      </c>
      <c r="C307" s="1" t="s">
        <v>15</v>
      </c>
      <c r="D307">
        <v>663</v>
      </c>
      <c r="E307" s="1">
        <v>768</v>
      </c>
      <c r="F307" s="2">
        <v>626</v>
      </c>
      <c r="G307" s="2">
        <v>142</v>
      </c>
      <c r="H307" s="2">
        <v>573</v>
      </c>
      <c r="I307" s="1">
        <v>53</v>
      </c>
    </row>
    <row r="308" spans="1:9" ht="15" x14ac:dyDescent="0.25">
      <c r="A308" s="4">
        <v>45892</v>
      </c>
      <c r="B308" s="1" t="str">
        <f t="shared" si="8"/>
        <v>23/08/25 Sábado</v>
      </c>
      <c r="C308" s="1" t="s">
        <v>8</v>
      </c>
      <c r="D308">
        <v>690</v>
      </c>
      <c r="E308" s="1">
        <v>812</v>
      </c>
      <c r="F308" s="2">
        <v>675</v>
      </c>
      <c r="G308" s="2">
        <v>137</v>
      </c>
      <c r="H308" s="2">
        <v>616</v>
      </c>
      <c r="I308" s="1">
        <v>59</v>
      </c>
    </row>
    <row r="309" spans="1:9" ht="15" x14ac:dyDescent="0.25">
      <c r="A309" s="4">
        <v>45892</v>
      </c>
      <c r="B309" s="1" t="str">
        <f t="shared" si="8"/>
        <v>23/08/25 Sábado</v>
      </c>
      <c r="C309" s="1" t="s">
        <v>9</v>
      </c>
      <c r="D309">
        <v>0</v>
      </c>
      <c r="E309" s="1">
        <v>254</v>
      </c>
      <c r="F309" s="2">
        <v>179</v>
      </c>
      <c r="G309" s="2">
        <v>75</v>
      </c>
      <c r="H309" s="2">
        <v>179</v>
      </c>
      <c r="I309" s="1">
        <v>0</v>
      </c>
    </row>
    <row r="310" spans="1:9" ht="15" x14ac:dyDescent="0.25">
      <c r="A310" s="4">
        <v>45892</v>
      </c>
      <c r="B310" s="1" t="str">
        <f t="shared" si="8"/>
        <v>23/08/25 Sábado</v>
      </c>
      <c r="C310" s="1" t="s">
        <v>10</v>
      </c>
      <c r="D310">
        <v>0</v>
      </c>
      <c r="E310" s="1">
        <v>305</v>
      </c>
      <c r="F310" s="2">
        <v>297</v>
      </c>
      <c r="G310" s="2">
        <v>8</v>
      </c>
      <c r="H310" s="2">
        <v>285</v>
      </c>
      <c r="I310" s="1">
        <v>12</v>
      </c>
    </row>
    <row r="311" spans="1:9" ht="15" x14ac:dyDescent="0.25">
      <c r="A311" s="4">
        <v>45892</v>
      </c>
      <c r="B311" s="1" t="str">
        <f t="shared" si="8"/>
        <v>23/08/25 Sábado</v>
      </c>
      <c r="C311" s="1" t="s">
        <v>11</v>
      </c>
      <c r="D311">
        <v>0</v>
      </c>
      <c r="E311" s="1">
        <v>1157</v>
      </c>
      <c r="F311" s="2">
        <v>1157</v>
      </c>
      <c r="G311" s="2">
        <v>0</v>
      </c>
      <c r="H311" s="2">
        <v>1133</v>
      </c>
      <c r="I311" s="1">
        <v>24</v>
      </c>
    </row>
    <row r="312" spans="1:9" ht="15" x14ac:dyDescent="0.25">
      <c r="A312" s="4">
        <v>45892</v>
      </c>
      <c r="B312" s="1" t="str">
        <f t="shared" si="8"/>
        <v>23/08/25 Sábado</v>
      </c>
      <c r="C312" s="1" t="s">
        <v>12</v>
      </c>
      <c r="D312">
        <v>935</v>
      </c>
      <c r="E312" s="1">
        <v>816</v>
      </c>
      <c r="F312" s="2">
        <v>739</v>
      </c>
      <c r="G312" s="2">
        <v>77</v>
      </c>
      <c r="H312" s="2">
        <v>643</v>
      </c>
      <c r="I312" s="1">
        <v>96</v>
      </c>
    </row>
    <row r="313" spans="1:9" ht="15" x14ac:dyDescent="0.25">
      <c r="A313" s="4">
        <v>45892</v>
      </c>
      <c r="B313" s="1" t="str">
        <f t="shared" si="8"/>
        <v>23/08/25 Sábado</v>
      </c>
      <c r="C313" s="1" t="s">
        <v>13</v>
      </c>
      <c r="D313">
        <v>288</v>
      </c>
      <c r="E313" s="1">
        <v>732</v>
      </c>
      <c r="F313" s="2">
        <v>621</v>
      </c>
      <c r="G313" s="2">
        <v>111</v>
      </c>
      <c r="H313" s="2">
        <v>567</v>
      </c>
      <c r="I313" s="1">
        <v>54</v>
      </c>
    </row>
    <row r="314" spans="1:9" ht="15" x14ac:dyDescent="0.25">
      <c r="A314" s="4">
        <v>45892</v>
      </c>
      <c r="B314" s="1" t="str">
        <f t="shared" si="8"/>
        <v>23/08/25 Sábado</v>
      </c>
      <c r="C314" s="1" t="s">
        <v>14</v>
      </c>
      <c r="D314">
        <v>286</v>
      </c>
      <c r="E314" s="1">
        <v>709</v>
      </c>
      <c r="F314" s="2">
        <v>669</v>
      </c>
      <c r="G314" s="2">
        <v>40</v>
      </c>
      <c r="H314" s="2">
        <v>606</v>
      </c>
      <c r="I314" s="1">
        <v>63</v>
      </c>
    </row>
    <row r="315" spans="1:9" ht="15" x14ac:dyDescent="0.25">
      <c r="A315" s="4">
        <v>45892</v>
      </c>
      <c r="B315" s="1" t="str">
        <f t="shared" si="8"/>
        <v>23/08/25 Sábado</v>
      </c>
      <c r="C315" s="1" t="s">
        <v>15</v>
      </c>
      <c r="D315">
        <v>737</v>
      </c>
      <c r="E315" s="1">
        <v>848</v>
      </c>
      <c r="F315" s="2">
        <v>726</v>
      </c>
      <c r="G315" s="2">
        <v>122</v>
      </c>
      <c r="H315" s="2">
        <v>684</v>
      </c>
      <c r="I315" s="1">
        <v>42</v>
      </c>
    </row>
    <row r="316" spans="1:9" ht="15" x14ac:dyDescent="0.25">
      <c r="A316" s="4">
        <v>45893</v>
      </c>
      <c r="B316" s="1" t="str">
        <f t="shared" si="8"/>
        <v>24/08/25 Domingo</v>
      </c>
      <c r="C316" s="1" t="s">
        <v>8</v>
      </c>
      <c r="D316">
        <v>141</v>
      </c>
      <c r="E316" s="1">
        <v>311</v>
      </c>
      <c r="F316" s="2">
        <v>231</v>
      </c>
      <c r="G316" s="2">
        <v>80</v>
      </c>
      <c r="H316" s="2">
        <v>207</v>
      </c>
      <c r="I316" s="1">
        <v>24</v>
      </c>
    </row>
    <row r="317" spans="1:9" ht="15" x14ac:dyDescent="0.25">
      <c r="A317" s="4">
        <v>45893</v>
      </c>
      <c r="B317" s="1" t="str">
        <f t="shared" si="8"/>
        <v>24/08/25 Domingo</v>
      </c>
      <c r="C317" s="1" t="s">
        <v>9</v>
      </c>
      <c r="D317">
        <v>301</v>
      </c>
      <c r="E317" s="1">
        <v>74</v>
      </c>
      <c r="F317" s="2">
        <v>63</v>
      </c>
      <c r="G317" s="2">
        <v>11</v>
      </c>
      <c r="H317" s="2">
        <v>60</v>
      </c>
      <c r="I317" s="1">
        <v>3</v>
      </c>
    </row>
    <row r="318" spans="1:9" ht="15" x14ac:dyDescent="0.25">
      <c r="A318" s="4">
        <v>45893</v>
      </c>
      <c r="B318" s="1" t="str">
        <f t="shared" si="8"/>
        <v>24/08/25 Domingo</v>
      </c>
      <c r="C318" s="1" t="s">
        <v>10</v>
      </c>
      <c r="D318">
        <v>945</v>
      </c>
      <c r="E318" s="1">
        <v>34</v>
      </c>
      <c r="F318" s="2">
        <v>34</v>
      </c>
      <c r="G318" s="2">
        <v>0</v>
      </c>
      <c r="H318" s="2">
        <v>33</v>
      </c>
      <c r="I318" s="1">
        <v>1</v>
      </c>
    </row>
    <row r="319" spans="1:9" ht="15" x14ac:dyDescent="0.25">
      <c r="A319" s="4">
        <v>45893</v>
      </c>
      <c r="B319" s="1" t="str">
        <f t="shared" si="8"/>
        <v>24/08/25 Domingo</v>
      </c>
      <c r="C319" s="1" t="s">
        <v>12</v>
      </c>
      <c r="D319">
        <v>452</v>
      </c>
      <c r="E319" s="1">
        <v>436</v>
      </c>
      <c r="F319" s="2">
        <v>389</v>
      </c>
      <c r="G319" s="2">
        <v>47</v>
      </c>
      <c r="H319" s="2">
        <v>375</v>
      </c>
      <c r="I319" s="1">
        <v>14</v>
      </c>
    </row>
    <row r="320" spans="1:9" ht="15" x14ac:dyDescent="0.25">
      <c r="A320" s="4">
        <v>45893</v>
      </c>
      <c r="B320" s="1" t="str">
        <f t="shared" si="8"/>
        <v>24/08/25 Domingo</v>
      </c>
      <c r="C320" s="1" t="s">
        <v>13</v>
      </c>
      <c r="D320">
        <v>444</v>
      </c>
      <c r="E320" s="1">
        <v>123</v>
      </c>
      <c r="F320" s="2">
        <v>123</v>
      </c>
      <c r="G320" s="2">
        <v>0</v>
      </c>
      <c r="H320" s="2">
        <v>104</v>
      </c>
      <c r="I320" s="1">
        <v>19</v>
      </c>
    </row>
    <row r="321" spans="1:9" ht="15" x14ac:dyDescent="0.25">
      <c r="A321" s="4">
        <v>45893</v>
      </c>
      <c r="B321" s="1" t="str">
        <f t="shared" si="8"/>
        <v>24/08/25 Domingo</v>
      </c>
      <c r="C321" s="1" t="s">
        <v>14</v>
      </c>
      <c r="D321">
        <v>0</v>
      </c>
      <c r="E321" s="1">
        <v>9</v>
      </c>
      <c r="F321" s="2">
        <v>9</v>
      </c>
      <c r="G321" s="2">
        <v>0</v>
      </c>
      <c r="H321" s="2">
        <v>7</v>
      </c>
      <c r="I321" s="1">
        <v>2</v>
      </c>
    </row>
    <row r="322" spans="1:9" ht="15" x14ac:dyDescent="0.25">
      <c r="A322" s="4">
        <v>45893</v>
      </c>
      <c r="B322" s="1" t="str">
        <f t="shared" si="8"/>
        <v>24/08/25 Domingo</v>
      </c>
      <c r="C322" s="1" t="s">
        <v>15</v>
      </c>
      <c r="D322">
        <v>0</v>
      </c>
      <c r="E322" s="1">
        <v>415</v>
      </c>
      <c r="F322" s="2">
        <v>311</v>
      </c>
      <c r="G322" s="2">
        <v>104</v>
      </c>
      <c r="H322" s="2">
        <v>289</v>
      </c>
      <c r="I322" s="1">
        <v>22</v>
      </c>
    </row>
    <row r="323" spans="1:9" ht="15" x14ac:dyDescent="0.25">
      <c r="A323" s="4">
        <v>45894</v>
      </c>
      <c r="B323" s="1" t="str">
        <f t="shared" ref="B323:B386" si="9">PROPER(TEXT(A323,"[$-es-ES]dd/mm/yy dddd"))</f>
        <v>25/08/25 Lunes</v>
      </c>
      <c r="C323" s="1" t="s">
        <v>8</v>
      </c>
      <c r="D323">
        <v>694</v>
      </c>
      <c r="E323" s="1">
        <v>713</v>
      </c>
      <c r="F323" s="2">
        <v>586</v>
      </c>
      <c r="G323" s="2">
        <v>127</v>
      </c>
      <c r="H323" s="2">
        <v>545</v>
      </c>
      <c r="I323" s="1">
        <v>41</v>
      </c>
    </row>
    <row r="324" spans="1:9" ht="15" x14ac:dyDescent="0.25">
      <c r="A324" s="4">
        <v>45894</v>
      </c>
      <c r="B324" s="1" t="str">
        <f t="shared" si="9"/>
        <v>25/08/25 Lunes</v>
      </c>
      <c r="C324" s="1" t="s">
        <v>9</v>
      </c>
      <c r="D324">
        <v>48</v>
      </c>
      <c r="E324" s="1">
        <v>61</v>
      </c>
      <c r="F324" s="2">
        <v>61</v>
      </c>
      <c r="G324" s="2">
        <v>0</v>
      </c>
      <c r="H324" s="2">
        <v>61</v>
      </c>
      <c r="I324" s="1">
        <v>0</v>
      </c>
    </row>
    <row r="325" spans="1:9" ht="15" x14ac:dyDescent="0.25">
      <c r="A325" s="4">
        <v>45894</v>
      </c>
      <c r="B325" s="1" t="str">
        <f t="shared" si="9"/>
        <v>25/08/25 Lunes</v>
      </c>
      <c r="C325" s="1" t="s">
        <v>10</v>
      </c>
      <c r="D325">
        <v>697</v>
      </c>
      <c r="E325" s="1">
        <v>1474</v>
      </c>
      <c r="F325" s="2">
        <v>1211</v>
      </c>
      <c r="G325" s="2">
        <v>263</v>
      </c>
      <c r="H325" s="2">
        <v>1191</v>
      </c>
      <c r="I325" s="1">
        <v>20</v>
      </c>
    </row>
    <row r="326" spans="1:9" ht="15" x14ac:dyDescent="0.25">
      <c r="A326" s="4">
        <v>45894</v>
      </c>
      <c r="B326" s="1" t="str">
        <f t="shared" si="9"/>
        <v>25/08/25 Lunes</v>
      </c>
      <c r="C326" s="1" t="s">
        <v>11</v>
      </c>
      <c r="D326">
        <v>951</v>
      </c>
      <c r="E326" s="1">
        <v>649</v>
      </c>
      <c r="F326" s="2">
        <v>644</v>
      </c>
      <c r="G326" s="2">
        <v>5</v>
      </c>
      <c r="H326" s="2">
        <v>632</v>
      </c>
      <c r="I326" s="1">
        <v>12</v>
      </c>
    </row>
    <row r="327" spans="1:9" ht="15" x14ac:dyDescent="0.25">
      <c r="A327" s="4">
        <v>45894</v>
      </c>
      <c r="B327" s="1" t="str">
        <f t="shared" si="9"/>
        <v>25/08/25 Lunes</v>
      </c>
      <c r="C327" s="1" t="s">
        <v>12</v>
      </c>
      <c r="D327">
        <v>452</v>
      </c>
      <c r="E327" s="1">
        <v>433</v>
      </c>
      <c r="F327" s="2">
        <v>419</v>
      </c>
      <c r="G327" s="2">
        <v>14</v>
      </c>
      <c r="H327" s="2">
        <v>384</v>
      </c>
      <c r="I327" s="1">
        <v>35</v>
      </c>
    </row>
    <row r="328" spans="1:9" ht="15" x14ac:dyDescent="0.25">
      <c r="A328" s="4">
        <v>45894</v>
      </c>
      <c r="B328" s="1" t="str">
        <f t="shared" si="9"/>
        <v>25/08/25 Lunes</v>
      </c>
      <c r="C328" s="1" t="s">
        <v>13</v>
      </c>
      <c r="D328">
        <v>896</v>
      </c>
      <c r="E328" s="1">
        <v>635</v>
      </c>
      <c r="F328" s="2">
        <v>583</v>
      </c>
      <c r="G328" s="2">
        <v>52</v>
      </c>
      <c r="H328" s="2">
        <v>576</v>
      </c>
      <c r="I328" s="1">
        <v>7</v>
      </c>
    </row>
    <row r="329" spans="1:9" ht="15" x14ac:dyDescent="0.25">
      <c r="A329" s="4">
        <v>45894</v>
      </c>
      <c r="B329" s="1" t="str">
        <f t="shared" si="9"/>
        <v>25/08/25 Lunes</v>
      </c>
      <c r="C329" s="1" t="s">
        <v>14</v>
      </c>
      <c r="D329">
        <v>1099</v>
      </c>
      <c r="E329" s="1">
        <v>89</v>
      </c>
      <c r="F329" s="2">
        <v>27</v>
      </c>
      <c r="G329" s="2">
        <v>62</v>
      </c>
      <c r="H329" s="2">
        <v>26</v>
      </c>
      <c r="I329" s="1">
        <v>1</v>
      </c>
    </row>
    <row r="330" spans="1:9" ht="15" x14ac:dyDescent="0.25">
      <c r="A330" s="4">
        <v>45894</v>
      </c>
      <c r="B330" s="1" t="str">
        <f t="shared" si="9"/>
        <v>25/08/25 Lunes</v>
      </c>
      <c r="C330" s="1" t="s">
        <v>15</v>
      </c>
      <c r="D330">
        <v>663</v>
      </c>
      <c r="E330" s="1">
        <v>418</v>
      </c>
      <c r="F330" s="2">
        <v>367</v>
      </c>
      <c r="G330" s="2">
        <v>51</v>
      </c>
      <c r="H330" s="2">
        <v>335</v>
      </c>
      <c r="I330" s="1">
        <v>32</v>
      </c>
    </row>
    <row r="331" spans="1:9" ht="15" x14ac:dyDescent="0.25">
      <c r="A331" s="4">
        <v>45895</v>
      </c>
      <c r="B331" s="1" t="str">
        <f t="shared" si="9"/>
        <v>26/08/25 Martes</v>
      </c>
      <c r="C331" s="1" t="s">
        <v>8</v>
      </c>
      <c r="D331">
        <v>693</v>
      </c>
      <c r="E331" s="1">
        <v>732</v>
      </c>
      <c r="F331" s="2">
        <v>527</v>
      </c>
      <c r="G331" s="2">
        <v>205</v>
      </c>
      <c r="H331" s="2">
        <v>490</v>
      </c>
      <c r="I331" s="1">
        <v>37</v>
      </c>
    </row>
    <row r="332" spans="1:9" ht="15" x14ac:dyDescent="0.25">
      <c r="A332" s="4">
        <v>45895</v>
      </c>
      <c r="B332" s="1" t="str">
        <f t="shared" si="9"/>
        <v>26/08/25 Martes</v>
      </c>
      <c r="C332" s="1" t="s">
        <v>9</v>
      </c>
      <c r="D332">
        <v>253</v>
      </c>
      <c r="E332" s="1">
        <v>254</v>
      </c>
      <c r="F332" s="2">
        <v>239</v>
      </c>
      <c r="G332" s="2">
        <v>15</v>
      </c>
      <c r="H332" s="2">
        <v>239</v>
      </c>
      <c r="I332" s="1">
        <v>0</v>
      </c>
    </row>
    <row r="333" spans="1:9" ht="15" x14ac:dyDescent="0.25">
      <c r="A333" s="4">
        <v>45895</v>
      </c>
      <c r="B333" s="1" t="str">
        <f t="shared" si="9"/>
        <v>26/08/25 Martes</v>
      </c>
      <c r="C333" s="1" t="s">
        <v>10</v>
      </c>
      <c r="D333">
        <v>945</v>
      </c>
      <c r="E333" s="1">
        <v>578</v>
      </c>
      <c r="F333" s="2">
        <v>506</v>
      </c>
      <c r="G333" s="2">
        <v>72</v>
      </c>
      <c r="H333" s="2">
        <v>492</v>
      </c>
      <c r="I333" s="1">
        <v>14</v>
      </c>
    </row>
    <row r="334" spans="1:9" ht="15" x14ac:dyDescent="0.25">
      <c r="A334" s="4">
        <v>45895</v>
      </c>
      <c r="B334" s="1" t="str">
        <f t="shared" si="9"/>
        <v>26/08/25 Martes</v>
      </c>
      <c r="C334" s="1" t="s">
        <v>11</v>
      </c>
      <c r="D334">
        <v>832</v>
      </c>
      <c r="E334" s="1">
        <v>1160</v>
      </c>
      <c r="F334" s="2">
        <v>1144</v>
      </c>
      <c r="G334" s="2">
        <v>16</v>
      </c>
      <c r="H334" s="2">
        <v>1133</v>
      </c>
      <c r="I334" s="1">
        <v>11</v>
      </c>
    </row>
    <row r="335" spans="1:9" ht="15" x14ac:dyDescent="0.25">
      <c r="A335" s="4">
        <v>45895</v>
      </c>
      <c r="B335" s="1" t="str">
        <f t="shared" si="9"/>
        <v>26/08/25 Martes</v>
      </c>
      <c r="C335" s="1" t="s">
        <v>12</v>
      </c>
      <c r="D335">
        <v>935</v>
      </c>
      <c r="E335" s="1">
        <v>320</v>
      </c>
      <c r="F335" s="2">
        <v>273</v>
      </c>
      <c r="G335" s="2">
        <v>47</v>
      </c>
      <c r="H335" s="2">
        <v>253</v>
      </c>
      <c r="I335" s="1">
        <v>20</v>
      </c>
    </row>
    <row r="336" spans="1:9" ht="15" x14ac:dyDescent="0.25">
      <c r="A336" s="4">
        <v>45895</v>
      </c>
      <c r="B336" s="1" t="str">
        <f t="shared" si="9"/>
        <v>26/08/25 Martes</v>
      </c>
      <c r="C336" s="1" t="s">
        <v>13</v>
      </c>
      <c r="D336">
        <v>474</v>
      </c>
      <c r="E336" s="1">
        <v>1065</v>
      </c>
      <c r="F336" s="2">
        <v>872</v>
      </c>
      <c r="G336" s="2">
        <v>193</v>
      </c>
      <c r="H336" s="2">
        <v>812</v>
      </c>
      <c r="I336" s="1">
        <v>60</v>
      </c>
    </row>
    <row r="337" spans="1:9" ht="15" x14ac:dyDescent="0.25">
      <c r="A337" s="4">
        <v>45895</v>
      </c>
      <c r="B337" s="1" t="str">
        <f t="shared" si="9"/>
        <v>26/08/25 Martes</v>
      </c>
      <c r="C337" s="1" t="s">
        <v>14</v>
      </c>
      <c r="D337">
        <v>286</v>
      </c>
      <c r="E337" s="1">
        <v>1428</v>
      </c>
      <c r="F337" s="2">
        <v>1113</v>
      </c>
      <c r="G337" s="2">
        <v>315</v>
      </c>
      <c r="H337" s="2">
        <v>999</v>
      </c>
      <c r="I337" s="1">
        <v>114</v>
      </c>
    </row>
    <row r="338" spans="1:9" ht="15" x14ac:dyDescent="0.25">
      <c r="A338" s="4">
        <v>45895</v>
      </c>
      <c r="B338" s="1" t="str">
        <f t="shared" si="9"/>
        <v>26/08/25 Martes</v>
      </c>
      <c r="C338" s="1" t="s">
        <v>15</v>
      </c>
      <c r="D338">
        <v>737</v>
      </c>
      <c r="E338" s="1">
        <v>966</v>
      </c>
      <c r="F338" s="2">
        <v>752</v>
      </c>
      <c r="G338" s="2">
        <v>214</v>
      </c>
      <c r="H338" s="2">
        <v>706</v>
      </c>
      <c r="I338" s="1">
        <v>46</v>
      </c>
    </row>
    <row r="339" spans="1:9" ht="15" x14ac:dyDescent="0.25">
      <c r="A339" s="4">
        <v>45896</v>
      </c>
      <c r="B339" s="1" t="str">
        <f t="shared" si="9"/>
        <v>27/08/25 Miércoles</v>
      </c>
      <c r="C339" s="1" t="s">
        <v>8</v>
      </c>
      <c r="D339">
        <v>694</v>
      </c>
      <c r="E339" s="1">
        <v>1210</v>
      </c>
      <c r="F339" s="2">
        <v>969</v>
      </c>
      <c r="G339" s="2">
        <v>241</v>
      </c>
      <c r="H339" s="2">
        <v>836</v>
      </c>
      <c r="I339" s="1">
        <v>133</v>
      </c>
    </row>
    <row r="340" spans="1:9" ht="15" x14ac:dyDescent="0.25">
      <c r="A340" s="4">
        <v>45896</v>
      </c>
      <c r="B340" s="1" t="str">
        <f t="shared" si="9"/>
        <v>27/08/25 Miércoles</v>
      </c>
      <c r="C340" s="1" t="s">
        <v>9</v>
      </c>
      <c r="D340">
        <v>48</v>
      </c>
      <c r="E340" s="1">
        <v>64</v>
      </c>
      <c r="F340" s="2">
        <v>64</v>
      </c>
      <c r="G340" s="2">
        <v>0</v>
      </c>
      <c r="H340" s="2">
        <v>64</v>
      </c>
      <c r="I340" s="1">
        <v>0</v>
      </c>
    </row>
    <row r="341" spans="1:9" ht="15" x14ac:dyDescent="0.25">
      <c r="A341" s="4">
        <v>45896</v>
      </c>
      <c r="B341" s="1" t="str">
        <f t="shared" si="9"/>
        <v>27/08/25 Miércoles</v>
      </c>
      <c r="C341" s="1" t="s">
        <v>10</v>
      </c>
      <c r="D341">
        <v>697</v>
      </c>
      <c r="E341" s="1">
        <v>1286</v>
      </c>
      <c r="F341" s="2">
        <v>1171</v>
      </c>
      <c r="G341" s="2">
        <v>115</v>
      </c>
      <c r="H341" s="2">
        <v>1159</v>
      </c>
      <c r="I341" s="1">
        <v>12</v>
      </c>
    </row>
    <row r="342" spans="1:9" ht="15" x14ac:dyDescent="0.25">
      <c r="A342" s="4">
        <v>45896</v>
      </c>
      <c r="B342" s="1" t="str">
        <f t="shared" si="9"/>
        <v>27/08/25 Miércoles</v>
      </c>
      <c r="C342" s="1" t="s">
        <v>11</v>
      </c>
      <c r="D342">
        <v>951</v>
      </c>
      <c r="E342" s="1">
        <v>660</v>
      </c>
      <c r="F342" s="2">
        <v>660</v>
      </c>
      <c r="G342" s="2">
        <v>0</v>
      </c>
      <c r="H342" s="2">
        <v>647</v>
      </c>
      <c r="I342" s="1">
        <v>13</v>
      </c>
    </row>
    <row r="343" spans="1:9" ht="15" x14ac:dyDescent="0.25">
      <c r="A343" s="4">
        <v>45896</v>
      </c>
      <c r="B343" s="1" t="str">
        <f t="shared" si="9"/>
        <v>27/08/25 Miércoles</v>
      </c>
      <c r="C343" s="1" t="s">
        <v>12</v>
      </c>
      <c r="D343">
        <v>452</v>
      </c>
      <c r="E343" s="1">
        <v>1138</v>
      </c>
      <c r="F343" s="2">
        <v>791</v>
      </c>
      <c r="G343" s="2">
        <v>347</v>
      </c>
      <c r="H343" s="2">
        <v>702</v>
      </c>
      <c r="I343" s="1">
        <v>89</v>
      </c>
    </row>
    <row r="344" spans="1:9" ht="15" x14ac:dyDescent="0.25">
      <c r="A344" s="4">
        <v>45896</v>
      </c>
      <c r="B344" s="1" t="str">
        <f t="shared" si="9"/>
        <v>27/08/25 Miércoles</v>
      </c>
      <c r="C344" s="1" t="s">
        <v>13</v>
      </c>
      <c r="D344">
        <v>926</v>
      </c>
      <c r="E344" s="1">
        <v>900</v>
      </c>
      <c r="F344" s="2">
        <v>664</v>
      </c>
      <c r="G344" s="2">
        <v>236</v>
      </c>
      <c r="H344" s="2">
        <v>631</v>
      </c>
      <c r="I344" s="1">
        <v>33</v>
      </c>
    </row>
    <row r="345" spans="1:9" ht="15" x14ac:dyDescent="0.25">
      <c r="A345" s="4">
        <v>45896</v>
      </c>
      <c r="B345" s="1" t="str">
        <f t="shared" si="9"/>
        <v>27/08/25 Miércoles</v>
      </c>
      <c r="C345" s="1" t="s">
        <v>14</v>
      </c>
      <c r="D345">
        <v>1099</v>
      </c>
      <c r="E345" s="1">
        <v>556</v>
      </c>
      <c r="F345" s="2">
        <v>408</v>
      </c>
      <c r="G345" s="2">
        <v>148</v>
      </c>
      <c r="H345" s="2">
        <v>341</v>
      </c>
      <c r="I345" s="1">
        <v>67</v>
      </c>
    </row>
    <row r="346" spans="1:9" ht="15" x14ac:dyDescent="0.25">
      <c r="A346" s="4">
        <v>45896</v>
      </c>
      <c r="B346" s="1" t="str">
        <f t="shared" si="9"/>
        <v>27/08/25 Miércoles</v>
      </c>
      <c r="C346" s="1" t="s">
        <v>15</v>
      </c>
      <c r="D346">
        <v>663</v>
      </c>
      <c r="E346" s="1">
        <v>602</v>
      </c>
      <c r="F346" s="2">
        <v>484</v>
      </c>
      <c r="G346" s="2">
        <v>118</v>
      </c>
      <c r="H346" s="2">
        <v>438</v>
      </c>
      <c r="I346" s="1">
        <v>46</v>
      </c>
    </row>
    <row r="347" spans="1:9" ht="15" x14ac:dyDescent="0.25">
      <c r="A347" s="4">
        <v>45897</v>
      </c>
      <c r="B347" s="1" t="str">
        <f t="shared" si="9"/>
        <v>28/08/25 Jueves</v>
      </c>
      <c r="C347" s="1" t="s">
        <v>8</v>
      </c>
      <c r="D347">
        <v>693</v>
      </c>
      <c r="E347" s="1">
        <v>733</v>
      </c>
      <c r="F347" s="2">
        <v>557</v>
      </c>
      <c r="G347" s="2">
        <v>176</v>
      </c>
      <c r="H347" s="2">
        <v>516</v>
      </c>
      <c r="I347" s="1">
        <v>41</v>
      </c>
    </row>
    <row r="348" spans="1:9" ht="15" x14ac:dyDescent="0.25">
      <c r="A348" s="4">
        <v>45897</v>
      </c>
      <c r="B348" s="1" t="str">
        <f t="shared" si="9"/>
        <v>28/08/25 Jueves</v>
      </c>
      <c r="C348" s="1" t="s">
        <v>9</v>
      </c>
      <c r="D348">
        <v>253</v>
      </c>
      <c r="E348" s="1">
        <v>253</v>
      </c>
      <c r="F348" s="2">
        <v>213</v>
      </c>
      <c r="G348" s="2">
        <v>40</v>
      </c>
      <c r="H348" s="2">
        <v>211</v>
      </c>
      <c r="I348" s="1">
        <v>2</v>
      </c>
    </row>
    <row r="349" spans="1:9" ht="15" x14ac:dyDescent="0.25">
      <c r="A349" s="4">
        <v>45897</v>
      </c>
      <c r="B349" s="1" t="str">
        <f t="shared" si="9"/>
        <v>28/08/25 Jueves</v>
      </c>
      <c r="C349" s="1" t="s">
        <v>10</v>
      </c>
      <c r="D349">
        <v>945</v>
      </c>
      <c r="E349" s="1">
        <v>537</v>
      </c>
      <c r="F349" s="2">
        <v>475</v>
      </c>
      <c r="G349" s="2">
        <v>62</v>
      </c>
      <c r="H349" s="2">
        <v>469</v>
      </c>
      <c r="I349" s="1">
        <v>6</v>
      </c>
    </row>
    <row r="350" spans="1:9" ht="15" x14ac:dyDescent="0.25">
      <c r="A350" s="4">
        <v>45897</v>
      </c>
      <c r="B350" s="1" t="str">
        <f t="shared" si="9"/>
        <v>28/08/25 Jueves</v>
      </c>
      <c r="C350" s="1" t="s">
        <v>11</v>
      </c>
      <c r="D350">
        <v>832</v>
      </c>
      <c r="E350" s="1">
        <v>1163</v>
      </c>
      <c r="F350" s="2">
        <v>1113</v>
      </c>
      <c r="G350" s="2">
        <v>50</v>
      </c>
      <c r="H350" s="2">
        <v>1100</v>
      </c>
      <c r="I350" s="1">
        <v>13</v>
      </c>
    </row>
    <row r="351" spans="1:9" ht="15" x14ac:dyDescent="0.25">
      <c r="A351" s="4">
        <v>45897</v>
      </c>
      <c r="B351" s="1" t="str">
        <f t="shared" si="9"/>
        <v>28/08/25 Jueves</v>
      </c>
      <c r="C351" s="1" t="s">
        <v>12</v>
      </c>
      <c r="D351">
        <v>935</v>
      </c>
      <c r="E351" s="1">
        <v>889</v>
      </c>
      <c r="F351" s="2">
        <v>559</v>
      </c>
      <c r="G351" s="2">
        <v>330</v>
      </c>
      <c r="H351" s="2">
        <v>523</v>
      </c>
      <c r="I351" s="1">
        <v>36</v>
      </c>
    </row>
    <row r="352" spans="1:9" ht="15" x14ac:dyDescent="0.25">
      <c r="A352" s="4">
        <v>45897</v>
      </c>
      <c r="B352" s="1" t="str">
        <f t="shared" si="9"/>
        <v>28/08/25 Jueves</v>
      </c>
      <c r="C352" s="1" t="s">
        <v>13</v>
      </c>
      <c r="D352">
        <v>480</v>
      </c>
      <c r="E352" s="1">
        <v>987</v>
      </c>
      <c r="F352" s="2">
        <v>860</v>
      </c>
      <c r="G352" s="2">
        <v>127</v>
      </c>
      <c r="H352" s="2">
        <v>821</v>
      </c>
      <c r="I352" s="1">
        <v>39</v>
      </c>
    </row>
    <row r="353" spans="1:9" ht="15" x14ac:dyDescent="0.25">
      <c r="A353" s="4">
        <v>45897</v>
      </c>
      <c r="B353" s="1" t="str">
        <f t="shared" si="9"/>
        <v>28/08/25 Jueves</v>
      </c>
      <c r="C353" s="1" t="s">
        <v>14</v>
      </c>
      <c r="D353">
        <v>286</v>
      </c>
      <c r="E353" s="1">
        <v>1201</v>
      </c>
      <c r="F353" s="2">
        <v>1086</v>
      </c>
      <c r="G353" s="2">
        <v>115</v>
      </c>
      <c r="H353" s="2">
        <v>1001</v>
      </c>
      <c r="I353" s="1">
        <v>85</v>
      </c>
    </row>
    <row r="354" spans="1:9" ht="15" x14ac:dyDescent="0.25">
      <c r="A354" s="4">
        <v>45897</v>
      </c>
      <c r="B354" s="1" t="str">
        <f t="shared" si="9"/>
        <v>28/08/25 Jueves</v>
      </c>
      <c r="C354" s="1" t="s">
        <v>15</v>
      </c>
      <c r="D354">
        <v>737</v>
      </c>
      <c r="E354" s="1">
        <v>1027</v>
      </c>
      <c r="F354" s="2">
        <v>902</v>
      </c>
      <c r="G354" s="2">
        <v>125</v>
      </c>
      <c r="H354" s="2">
        <v>833</v>
      </c>
      <c r="I354" s="1">
        <v>69</v>
      </c>
    </row>
    <row r="355" spans="1:9" ht="15" x14ac:dyDescent="0.25">
      <c r="A355" s="4">
        <v>45898</v>
      </c>
      <c r="B355" s="1" t="str">
        <f t="shared" si="9"/>
        <v>29/08/25 Viernes</v>
      </c>
      <c r="C355" s="1" t="s">
        <v>8</v>
      </c>
      <c r="D355">
        <v>694</v>
      </c>
      <c r="E355" s="1">
        <v>1202</v>
      </c>
      <c r="F355" s="2">
        <v>868</v>
      </c>
      <c r="G355" s="2">
        <v>334</v>
      </c>
      <c r="H355" s="2">
        <v>793</v>
      </c>
      <c r="I355" s="1">
        <v>75</v>
      </c>
    </row>
    <row r="356" spans="1:9" ht="15" x14ac:dyDescent="0.25">
      <c r="A356" s="4">
        <v>45898</v>
      </c>
      <c r="B356" s="1" t="str">
        <f t="shared" si="9"/>
        <v>29/08/25 Viernes</v>
      </c>
      <c r="C356" s="1" t="s">
        <v>9</v>
      </c>
      <c r="D356">
        <v>48</v>
      </c>
      <c r="E356" s="1">
        <v>158</v>
      </c>
      <c r="F356" s="2">
        <v>158</v>
      </c>
      <c r="G356" s="2">
        <v>0</v>
      </c>
      <c r="H356" s="2">
        <v>157</v>
      </c>
      <c r="I356" s="1">
        <v>1</v>
      </c>
    </row>
    <row r="357" spans="1:9" ht="15" x14ac:dyDescent="0.25">
      <c r="A357" s="4">
        <v>45898</v>
      </c>
      <c r="B357" s="1" t="str">
        <f t="shared" si="9"/>
        <v>29/08/25 Viernes</v>
      </c>
      <c r="C357" s="1" t="s">
        <v>10</v>
      </c>
      <c r="D357">
        <v>697</v>
      </c>
      <c r="E357" s="1">
        <v>1375</v>
      </c>
      <c r="F357" s="2">
        <v>1220</v>
      </c>
      <c r="G357" s="2">
        <v>155</v>
      </c>
      <c r="H357" s="2">
        <v>1200</v>
      </c>
      <c r="I357" s="1">
        <v>20</v>
      </c>
    </row>
    <row r="358" spans="1:9" ht="15" x14ac:dyDescent="0.25">
      <c r="A358" s="4">
        <v>45898</v>
      </c>
      <c r="B358" s="1" t="str">
        <f t="shared" si="9"/>
        <v>29/08/25 Viernes</v>
      </c>
      <c r="C358" s="1" t="s">
        <v>11</v>
      </c>
      <c r="D358">
        <v>951</v>
      </c>
      <c r="E358" s="1">
        <v>763</v>
      </c>
      <c r="F358" s="2">
        <v>738</v>
      </c>
      <c r="G358" s="2">
        <v>25</v>
      </c>
      <c r="H358" s="2">
        <v>723</v>
      </c>
      <c r="I358" s="1">
        <v>15</v>
      </c>
    </row>
    <row r="359" spans="1:9" ht="15" x14ac:dyDescent="0.25">
      <c r="A359" s="4">
        <v>45898</v>
      </c>
      <c r="B359" s="1" t="str">
        <f t="shared" si="9"/>
        <v>29/08/25 Viernes</v>
      </c>
      <c r="C359" s="1" t="s">
        <v>12</v>
      </c>
      <c r="D359">
        <v>452</v>
      </c>
      <c r="E359" s="1">
        <v>1124</v>
      </c>
      <c r="F359" s="2">
        <v>990</v>
      </c>
      <c r="G359" s="2">
        <v>134</v>
      </c>
      <c r="H359" s="2">
        <v>890</v>
      </c>
      <c r="I359" s="1">
        <v>100</v>
      </c>
    </row>
    <row r="360" spans="1:9" ht="15" x14ac:dyDescent="0.25">
      <c r="A360" s="4">
        <v>45898</v>
      </c>
      <c r="B360" s="1" t="str">
        <f t="shared" si="9"/>
        <v>29/08/25 Viernes</v>
      </c>
      <c r="C360" s="1" t="s">
        <v>13</v>
      </c>
      <c r="D360">
        <v>890</v>
      </c>
      <c r="E360" s="1">
        <v>1099</v>
      </c>
      <c r="F360" s="2">
        <v>892</v>
      </c>
      <c r="G360" s="2">
        <v>207</v>
      </c>
      <c r="H360" s="2">
        <v>861</v>
      </c>
      <c r="I360" s="1">
        <v>31</v>
      </c>
    </row>
    <row r="361" spans="1:9" ht="15" x14ac:dyDescent="0.25">
      <c r="A361" s="4">
        <v>45898</v>
      </c>
      <c r="B361" s="1" t="str">
        <f t="shared" si="9"/>
        <v>29/08/25 Viernes</v>
      </c>
      <c r="C361" s="1" t="s">
        <v>14</v>
      </c>
      <c r="D361">
        <v>1099</v>
      </c>
      <c r="E361" s="1">
        <v>528</v>
      </c>
      <c r="F361" s="2">
        <v>380</v>
      </c>
      <c r="G361" s="2">
        <v>148</v>
      </c>
      <c r="H361" s="2">
        <v>325</v>
      </c>
      <c r="I361" s="1">
        <v>55</v>
      </c>
    </row>
    <row r="362" spans="1:9" ht="15" x14ac:dyDescent="0.25">
      <c r="A362" s="4">
        <v>45898</v>
      </c>
      <c r="B362" s="1" t="str">
        <f t="shared" si="9"/>
        <v>29/08/25 Viernes</v>
      </c>
      <c r="C362" s="1" t="s">
        <v>15</v>
      </c>
      <c r="D362">
        <v>663</v>
      </c>
      <c r="E362" s="1">
        <v>557</v>
      </c>
      <c r="F362" s="2">
        <v>494</v>
      </c>
      <c r="G362" s="2">
        <v>63</v>
      </c>
      <c r="H362" s="2">
        <v>445</v>
      </c>
      <c r="I362" s="1">
        <v>49</v>
      </c>
    </row>
    <row r="363" spans="1:9" ht="15" x14ac:dyDescent="0.25">
      <c r="A363" s="4">
        <v>45899</v>
      </c>
      <c r="B363" s="1" t="str">
        <f t="shared" si="9"/>
        <v>30/08/25 Sábado</v>
      </c>
      <c r="C363" s="1" t="s">
        <v>8</v>
      </c>
      <c r="D363">
        <v>693</v>
      </c>
      <c r="E363" s="1">
        <v>613</v>
      </c>
      <c r="F363" s="2">
        <v>595</v>
      </c>
      <c r="G363" s="2">
        <v>18</v>
      </c>
      <c r="H363" s="2">
        <v>547</v>
      </c>
      <c r="I363" s="1">
        <v>48</v>
      </c>
    </row>
    <row r="364" spans="1:9" ht="15" x14ac:dyDescent="0.25">
      <c r="A364" s="4">
        <v>45899</v>
      </c>
      <c r="B364" s="1" t="str">
        <f t="shared" si="9"/>
        <v>30/08/25 Sábado</v>
      </c>
      <c r="C364" s="1" t="s">
        <v>10</v>
      </c>
      <c r="D364">
        <v>0</v>
      </c>
      <c r="E364" s="1">
        <v>158</v>
      </c>
      <c r="F364" s="2">
        <v>128</v>
      </c>
      <c r="G364" s="2">
        <v>30</v>
      </c>
      <c r="H364" s="2">
        <v>122</v>
      </c>
      <c r="I364" s="1">
        <v>6</v>
      </c>
    </row>
    <row r="365" spans="1:9" ht="15" x14ac:dyDescent="0.25">
      <c r="A365" s="4">
        <v>45899</v>
      </c>
      <c r="B365" s="1" t="str">
        <f t="shared" si="9"/>
        <v>30/08/25 Sábado</v>
      </c>
      <c r="C365" s="1" t="s">
        <v>12</v>
      </c>
      <c r="D365">
        <v>935</v>
      </c>
      <c r="E365" s="1">
        <v>293</v>
      </c>
      <c r="F365" s="2">
        <v>261</v>
      </c>
      <c r="G365" s="2">
        <v>32</v>
      </c>
      <c r="H365" s="2">
        <v>231</v>
      </c>
      <c r="I365" s="1">
        <v>30</v>
      </c>
    </row>
    <row r="366" spans="1:9" ht="15" x14ac:dyDescent="0.25">
      <c r="A366" s="4">
        <v>45899</v>
      </c>
      <c r="B366" s="1" t="str">
        <f t="shared" si="9"/>
        <v>30/08/25 Sábado</v>
      </c>
      <c r="C366" s="1" t="s">
        <v>13</v>
      </c>
      <c r="D366">
        <v>288</v>
      </c>
      <c r="E366" s="1">
        <v>412</v>
      </c>
      <c r="F366" s="2">
        <v>287</v>
      </c>
      <c r="G366" s="2">
        <v>125</v>
      </c>
      <c r="H366" s="2">
        <v>269</v>
      </c>
      <c r="I366" s="1">
        <v>18</v>
      </c>
    </row>
    <row r="367" spans="1:9" ht="15" x14ac:dyDescent="0.25">
      <c r="A367" s="4">
        <v>45899</v>
      </c>
      <c r="B367" s="1" t="str">
        <f t="shared" si="9"/>
        <v>30/08/25 Sábado</v>
      </c>
      <c r="C367" s="1" t="s">
        <v>14</v>
      </c>
      <c r="D367">
        <v>286</v>
      </c>
      <c r="E367" s="1">
        <v>1219</v>
      </c>
      <c r="F367" s="2">
        <v>1058</v>
      </c>
      <c r="G367" s="2">
        <v>161</v>
      </c>
      <c r="H367" s="2">
        <v>982</v>
      </c>
      <c r="I367" s="1">
        <v>76</v>
      </c>
    </row>
    <row r="368" spans="1:9" ht="15" x14ac:dyDescent="0.25">
      <c r="A368" s="4">
        <v>45899</v>
      </c>
      <c r="B368" s="1" t="str">
        <f t="shared" si="9"/>
        <v>30/08/25 Sábado</v>
      </c>
      <c r="C368" s="1" t="s">
        <v>15</v>
      </c>
      <c r="D368">
        <v>737</v>
      </c>
      <c r="E368" s="1">
        <v>1039</v>
      </c>
      <c r="F368" s="2">
        <v>707</v>
      </c>
      <c r="G368" s="2">
        <v>332</v>
      </c>
      <c r="H368" s="2">
        <v>647</v>
      </c>
      <c r="I368" s="1">
        <v>60</v>
      </c>
    </row>
    <row r="369" spans="1:9" ht="15" x14ac:dyDescent="0.25">
      <c r="A369" s="4">
        <v>45900</v>
      </c>
      <c r="B369" s="1" t="str">
        <f t="shared" si="9"/>
        <v>31/08/25 Domingo</v>
      </c>
      <c r="C369" s="1" t="s">
        <v>8</v>
      </c>
      <c r="D369">
        <v>138</v>
      </c>
      <c r="E369" s="1">
        <v>122</v>
      </c>
      <c r="F369" s="2">
        <v>113</v>
      </c>
      <c r="G369" s="2">
        <v>9</v>
      </c>
      <c r="H369" s="2">
        <v>103</v>
      </c>
      <c r="I369" s="1">
        <v>10</v>
      </c>
    </row>
    <row r="370" spans="1:9" ht="15" x14ac:dyDescent="0.25">
      <c r="A370" s="4">
        <v>45900</v>
      </c>
      <c r="B370" s="1" t="str">
        <f t="shared" si="9"/>
        <v>31/08/25 Domingo</v>
      </c>
      <c r="C370" s="1" t="s">
        <v>9</v>
      </c>
      <c r="D370">
        <v>301</v>
      </c>
      <c r="E370" s="1">
        <v>253</v>
      </c>
      <c r="F370" s="2">
        <v>253</v>
      </c>
      <c r="G370" s="2">
        <v>0</v>
      </c>
      <c r="H370" s="2">
        <v>251</v>
      </c>
      <c r="I370" s="1">
        <v>2</v>
      </c>
    </row>
    <row r="371" spans="1:9" ht="15" x14ac:dyDescent="0.25">
      <c r="A371" s="4">
        <v>45900</v>
      </c>
      <c r="B371" s="1" t="str">
        <f t="shared" si="9"/>
        <v>31/08/25 Domingo</v>
      </c>
      <c r="C371" s="1" t="s">
        <v>10</v>
      </c>
      <c r="D371">
        <v>945</v>
      </c>
      <c r="E371" s="1">
        <v>880</v>
      </c>
      <c r="F371" s="2">
        <v>816</v>
      </c>
      <c r="G371" s="2">
        <v>64</v>
      </c>
      <c r="H371" s="2">
        <v>806</v>
      </c>
      <c r="I371" s="1">
        <v>10</v>
      </c>
    </row>
    <row r="372" spans="1:9" ht="15" x14ac:dyDescent="0.25">
      <c r="A372" s="4">
        <v>45900</v>
      </c>
      <c r="B372" s="1" t="str">
        <f t="shared" si="9"/>
        <v>31/08/25 Domingo</v>
      </c>
      <c r="C372" s="1" t="s">
        <v>11</v>
      </c>
      <c r="D372">
        <v>1783</v>
      </c>
      <c r="E372" s="1">
        <v>1165</v>
      </c>
      <c r="F372" s="2">
        <v>1148</v>
      </c>
      <c r="G372" s="2">
        <v>17</v>
      </c>
      <c r="H372" s="2">
        <v>1130</v>
      </c>
      <c r="I372" s="1">
        <v>18</v>
      </c>
    </row>
    <row r="373" spans="1:9" ht="15" x14ac:dyDescent="0.25">
      <c r="A373" s="4">
        <v>45900</v>
      </c>
      <c r="B373" s="1" t="str">
        <f t="shared" si="9"/>
        <v>31/08/25 Domingo</v>
      </c>
      <c r="C373" s="1" t="s">
        <v>12</v>
      </c>
      <c r="D373">
        <v>452</v>
      </c>
      <c r="E373" s="1">
        <v>437</v>
      </c>
      <c r="F373" s="2">
        <v>391</v>
      </c>
      <c r="G373" s="2">
        <v>46</v>
      </c>
      <c r="H373" s="2">
        <v>369</v>
      </c>
      <c r="I373" s="1">
        <v>22</v>
      </c>
    </row>
    <row r="374" spans="1:9" ht="15" x14ac:dyDescent="0.25">
      <c r="A374" s="4">
        <v>45900</v>
      </c>
      <c r="B374" s="1" t="str">
        <f t="shared" si="9"/>
        <v>31/08/25 Domingo</v>
      </c>
      <c r="C374" s="1" t="s">
        <v>13</v>
      </c>
      <c r="D374">
        <v>450</v>
      </c>
      <c r="E374" s="1">
        <v>641</v>
      </c>
      <c r="F374" s="2">
        <v>636</v>
      </c>
      <c r="G374" s="2">
        <v>5</v>
      </c>
      <c r="H374" s="2">
        <v>592</v>
      </c>
      <c r="I374" s="1">
        <v>44</v>
      </c>
    </row>
    <row r="375" spans="1:9" ht="15" x14ac:dyDescent="0.25">
      <c r="A375" s="4">
        <v>45900</v>
      </c>
      <c r="B375" s="1" t="str">
        <f t="shared" si="9"/>
        <v>31/08/25 Domingo</v>
      </c>
      <c r="C375" s="1" t="s">
        <v>14</v>
      </c>
      <c r="D375">
        <v>0</v>
      </c>
      <c r="E375" s="1">
        <v>354</v>
      </c>
      <c r="F375" s="2">
        <v>250</v>
      </c>
      <c r="G375" s="2">
        <v>104</v>
      </c>
      <c r="H375" s="2">
        <v>237</v>
      </c>
      <c r="I375" s="1">
        <v>13</v>
      </c>
    </row>
    <row r="376" spans="1:9" ht="15" x14ac:dyDescent="0.25">
      <c r="A376" s="4">
        <v>45900</v>
      </c>
      <c r="B376" s="1" t="str">
        <f t="shared" si="9"/>
        <v>31/08/25 Domingo</v>
      </c>
      <c r="C376" s="1" t="s">
        <v>15</v>
      </c>
      <c r="D376">
        <v>0</v>
      </c>
      <c r="E376" s="1">
        <v>413</v>
      </c>
      <c r="F376" s="2">
        <v>382</v>
      </c>
      <c r="G376" s="2">
        <v>31</v>
      </c>
      <c r="H376" s="2">
        <v>360</v>
      </c>
      <c r="I376" s="1">
        <v>22</v>
      </c>
    </row>
    <row r="377" spans="1:9" ht="15" x14ac:dyDescent="0.25">
      <c r="A377" s="4">
        <v>45901</v>
      </c>
      <c r="B377" s="1" t="str">
        <f t="shared" si="9"/>
        <v>01/09/25 Lunes</v>
      </c>
      <c r="C377" s="1" t="s">
        <v>8</v>
      </c>
      <c r="D377">
        <v>697</v>
      </c>
      <c r="E377" s="1">
        <v>1149</v>
      </c>
      <c r="F377" s="2">
        <v>844</v>
      </c>
      <c r="G377" s="2">
        <v>305</v>
      </c>
      <c r="H377" s="2">
        <v>761</v>
      </c>
      <c r="I377" s="1">
        <v>83</v>
      </c>
    </row>
    <row r="378" spans="1:9" ht="15" x14ac:dyDescent="0.25">
      <c r="A378" s="4">
        <v>45901</v>
      </c>
      <c r="B378" s="1" t="str">
        <f t="shared" si="9"/>
        <v>01/09/25 Lunes</v>
      </c>
      <c r="C378" s="1" t="s">
        <v>9</v>
      </c>
      <c r="D378">
        <v>48</v>
      </c>
      <c r="E378" s="1">
        <v>145</v>
      </c>
      <c r="F378" s="2">
        <v>145</v>
      </c>
      <c r="G378" s="2">
        <v>0</v>
      </c>
      <c r="H378" s="2">
        <v>144</v>
      </c>
      <c r="I378" s="1">
        <v>1</v>
      </c>
    </row>
    <row r="379" spans="1:9" ht="15" x14ac:dyDescent="0.25">
      <c r="A379" s="4">
        <v>45901</v>
      </c>
      <c r="B379" s="1" t="str">
        <f t="shared" si="9"/>
        <v>01/09/25 Lunes</v>
      </c>
      <c r="C379" s="1" t="s">
        <v>10</v>
      </c>
      <c r="D379">
        <v>697</v>
      </c>
      <c r="E379" s="1">
        <v>906</v>
      </c>
      <c r="F379" s="2">
        <v>768</v>
      </c>
      <c r="G379" s="2">
        <v>138</v>
      </c>
      <c r="H379" s="2">
        <v>756</v>
      </c>
      <c r="I379" s="1">
        <v>12</v>
      </c>
    </row>
    <row r="380" spans="1:9" ht="15" x14ac:dyDescent="0.25">
      <c r="A380" s="4">
        <v>45901</v>
      </c>
      <c r="B380" s="1" t="str">
        <f t="shared" si="9"/>
        <v>01/09/25 Lunes</v>
      </c>
      <c r="C380" s="1" t="s">
        <v>11</v>
      </c>
      <c r="D380">
        <v>832</v>
      </c>
      <c r="E380" s="1">
        <v>677</v>
      </c>
      <c r="F380" s="2">
        <v>677</v>
      </c>
      <c r="G380" s="2">
        <v>0</v>
      </c>
      <c r="H380" s="2">
        <v>665</v>
      </c>
      <c r="I380" s="1">
        <v>12</v>
      </c>
    </row>
    <row r="381" spans="1:9" ht="15" x14ac:dyDescent="0.25">
      <c r="A381" s="4">
        <v>45901</v>
      </c>
      <c r="B381" s="1" t="str">
        <f t="shared" si="9"/>
        <v>01/09/25 Lunes</v>
      </c>
      <c r="C381" s="1" t="s">
        <v>12</v>
      </c>
      <c r="D381">
        <v>352</v>
      </c>
      <c r="E381" s="1">
        <v>1209</v>
      </c>
      <c r="F381" s="2">
        <v>968</v>
      </c>
      <c r="G381" s="2">
        <v>241</v>
      </c>
      <c r="H381" s="2">
        <v>863</v>
      </c>
      <c r="I381" s="1">
        <v>105</v>
      </c>
    </row>
    <row r="382" spans="1:9" ht="15" x14ac:dyDescent="0.25">
      <c r="A382" s="4">
        <v>45901</v>
      </c>
      <c r="B382" s="1" t="str">
        <f t="shared" si="9"/>
        <v>01/09/25 Lunes</v>
      </c>
      <c r="C382" s="1" t="s">
        <v>13</v>
      </c>
      <c r="D382">
        <v>890</v>
      </c>
      <c r="E382" s="1">
        <v>902</v>
      </c>
      <c r="F382" s="2">
        <v>770</v>
      </c>
      <c r="G382" s="2">
        <v>132</v>
      </c>
      <c r="H382" s="2">
        <v>700</v>
      </c>
      <c r="I382" s="1">
        <v>70</v>
      </c>
    </row>
    <row r="383" spans="1:9" ht="15" x14ac:dyDescent="0.25">
      <c r="A383" s="4">
        <v>45901</v>
      </c>
      <c r="B383" s="1" t="str">
        <f t="shared" si="9"/>
        <v>01/09/25 Lunes</v>
      </c>
      <c r="C383" s="1" t="s">
        <v>14</v>
      </c>
      <c r="D383">
        <v>1099</v>
      </c>
      <c r="E383" s="1">
        <v>228</v>
      </c>
      <c r="F383" s="2">
        <v>154</v>
      </c>
      <c r="G383" s="2">
        <v>74</v>
      </c>
      <c r="H383" s="2">
        <v>122</v>
      </c>
      <c r="I383" s="1">
        <v>32</v>
      </c>
    </row>
    <row r="384" spans="1:9" ht="15" x14ac:dyDescent="0.25">
      <c r="A384" s="4">
        <v>45901</v>
      </c>
      <c r="B384" s="1" t="str">
        <f t="shared" si="9"/>
        <v>01/09/25 Lunes</v>
      </c>
      <c r="C384" s="1" t="s">
        <v>15</v>
      </c>
      <c r="D384">
        <v>663</v>
      </c>
      <c r="E384" s="1">
        <v>557</v>
      </c>
      <c r="F384" s="2">
        <v>458</v>
      </c>
      <c r="G384" s="2">
        <v>99</v>
      </c>
      <c r="H384" s="2">
        <v>414</v>
      </c>
      <c r="I384" s="1">
        <v>44</v>
      </c>
    </row>
    <row r="385" spans="1:9" ht="15" x14ac:dyDescent="0.25">
      <c r="A385" s="4">
        <v>45902</v>
      </c>
      <c r="B385" s="1" t="str">
        <f t="shared" si="9"/>
        <v>02/09/25 Martes</v>
      </c>
      <c r="C385" s="1" t="s">
        <v>8</v>
      </c>
      <c r="D385">
        <v>690</v>
      </c>
      <c r="E385" s="1">
        <v>736</v>
      </c>
      <c r="F385" s="2">
        <v>644</v>
      </c>
      <c r="G385" s="2">
        <v>92</v>
      </c>
      <c r="H385" s="2">
        <v>590</v>
      </c>
      <c r="I385" s="1">
        <v>54</v>
      </c>
    </row>
    <row r="386" spans="1:9" ht="15" x14ac:dyDescent="0.25">
      <c r="A386" s="4">
        <v>45902</v>
      </c>
      <c r="B386" s="1" t="str">
        <f t="shared" si="9"/>
        <v>02/09/25 Martes</v>
      </c>
      <c r="C386" s="1" t="s">
        <v>9</v>
      </c>
      <c r="D386">
        <v>253</v>
      </c>
      <c r="E386" s="1">
        <v>158</v>
      </c>
      <c r="F386" s="2">
        <v>158</v>
      </c>
      <c r="G386" s="2">
        <v>0</v>
      </c>
      <c r="H386" s="2">
        <v>158</v>
      </c>
      <c r="I386" s="1">
        <v>0</v>
      </c>
    </row>
    <row r="387" spans="1:9" ht="15" x14ac:dyDescent="0.25">
      <c r="A387" s="4">
        <v>45902</v>
      </c>
      <c r="B387" s="1" t="str">
        <f t="shared" ref="B387:B450" si="10">PROPER(TEXT(A387,"[$-es-ES]dd/mm/yy dddd"))</f>
        <v>02/09/25 Martes</v>
      </c>
      <c r="C387" s="1" t="s">
        <v>10</v>
      </c>
      <c r="D387">
        <v>945</v>
      </c>
      <c r="E387" s="1">
        <v>848</v>
      </c>
      <c r="F387" s="2">
        <v>774</v>
      </c>
      <c r="G387" s="2">
        <v>74</v>
      </c>
      <c r="H387" s="2">
        <v>762</v>
      </c>
      <c r="I387" s="1">
        <v>12</v>
      </c>
    </row>
    <row r="388" spans="1:9" ht="15" x14ac:dyDescent="0.25">
      <c r="A388" s="4">
        <v>45902</v>
      </c>
      <c r="B388" s="1" t="str">
        <f t="shared" si="10"/>
        <v>02/09/25 Martes</v>
      </c>
      <c r="C388" s="1" t="s">
        <v>11</v>
      </c>
      <c r="D388">
        <v>951</v>
      </c>
      <c r="E388" s="1">
        <v>1166</v>
      </c>
      <c r="F388" s="2">
        <v>1155</v>
      </c>
      <c r="G388" s="2">
        <v>11</v>
      </c>
      <c r="H388" s="2">
        <v>1147</v>
      </c>
      <c r="I388" s="1">
        <v>8</v>
      </c>
    </row>
    <row r="389" spans="1:9" ht="15" x14ac:dyDescent="0.25">
      <c r="A389" s="4">
        <v>45902</v>
      </c>
      <c r="B389" s="1" t="str">
        <f t="shared" si="10"/>
        <v>02/09/25 Martes</v>
      </c>
      <c r="C389" s="1" t="s">
        <v>12</v>
      </c>
      <c r="D389">
        <v>1035</v>
      </c>
      <c r="E389" s="1">
        <v>386</v>
      </c>
      <c r="F389" s="2">
        <v>287</v>
      </c>
      <c r="G389" s="2">
        <v>99</v>
      </c>
      <c r="H389" s="2">
        <v>263</v>
      </c>
      <c r="I389" s="1">
        <v>24</v>
      </c>
    </row>
    <row r="390" spans="1:9" ht="15" x14ac:dyDescent="0.25">
      <c r="A390" s="4">
        <v>45902</v>
      </c>
      <c r="B390" s="1" t="str">
        <f t="shared" si="10"/>
        <v>02/09/25 Martes</v>
      </c>
      <c r="C390" s="1" t="s">
        <v>13</v>
      </c>
      <c r="D390">
        <v>510</v>
      </c>
      <c r="E390" s="1">
        <v>797</v>
      </c>
      <c r="F390" s="2">
        <v>654</v>
      </c>
      <c r="G390" s="2">
        <v>143</v>
      </c>
      <c r="H390" s="2">
        <v>615</v>
      </c>
      <c r="I390" s="1">
        <v>39</v>
      </c>
    </row>
    <row r="391" spans="1:9" ht="15" x14ac:dyDescent="0.25">
      <c r="A391" s="4">
        <v>45902</v>
      </c>
      <c r="B391" s="1" t="str">
        <f t="shared" si="10"/>
        <v>02/09/25 Martes</v>
      </c>
      <c r="C391" s="1" t="s">
        <v>14</v>
      </c>
      <c r="D391">
        <v>286</v>
      </c>
      <c r="E391" s="1">
        <v>1493</v>
      </c>
      <c r="F391" s="2">
        <v>1038</v>
      </c>
      <c r="G391" s="2">
        <v>455</v>
      </c>
      <c r="H391" s="2">
        <v>953</v>
      </c>
      <c r="I391" s="1">
        <v>85</v>
      </c>
    </row>
    <row r="392" spans="1:9" ht="15" x14ac:dyDescent="0.25">
      <c r="A392" s="4">
        <v>45902</v>
      </c>
      <c r="B392" s="1" t="str">
        <f t="shared" si="10"/>
        <v>02/09/25 Martes</v>
      </c>
      <c r="C392" s="1" t="s">
        <v>15</v>
      </c>
      <c r="D392">
        <v>737</v>
      </c>
      <c r="E392" s="1">
        <v>858</v>
      </c>
      <c r="F392" s="2">
        <v>721</v>
      </c>
      <c r="G392" s="2">
        <v>137</v>
      </c>
      <c r="H392" s="2">
        <v>660</v>
      </c>
      <c r="I392" s="1">
        <v>61</v>
      </c>
    </row>
    <row r="393" spans="1:9" ht="15" x14ac:dyDescent="0.25">
      <c r="A393" s="4">
        <v>45903</v>
      </c>
      <c r="B393" s="1" t="str">
        <f t="shared" si="10"/>
        <v>03/09/25 Miércoles</v>
      </c>
      <c r="C393" s="1" t="s">
        <v>8</v>
      </c>
      <c r="D393">
        <v>697</v>
      </c>
      <c r="E393" s="1">
        <v>962</v>
      </c>
      <c r="F393" s="2">
        <v>811</v>
      </c>
      <c r="G393" s="2">
        <v>151</v>
      </c>
      <c r="H393" s="2">
        <v>761</v>
      </c>
      <c r="I393" s="1">
        <v>50</v>
      </c>
    </row>
    <row r="394" spans="1:9" ht="15" x14ac:dyDescent="0.25">
      <c r="A394" s="4">
        <v>45903</v>
      </c>
      <c r="B394" s="1" t="str">
        <f t="shared" si="10"/>
        <v>03/09/25 Miércoles</v>
      </c>
      <c r="C394" s="1" t="s">
        <v>9</v>
      </c>
      <c r="D394">
        <v>48</v>
      </c>
      <c r="E394" s="1">
        <v>144</v>
      </c>
      <c r="F394" s="2">
        <v>133</v>
      </c>
      <c r="G394" s="2">
        <v>11</v>
      </c>
      <c r="H394" s="2">
        <v>132</v>
      </c>
      <c r="I394" s="1">
        <v>1</v>
      </c>
    </row>
    <row r="395" spans="1:9" ht="15" x14ac:dyDescent="0.25">
      <c r="A395" s="4">
        <v>45903</v>
      </c>
      <c r="B395" s="1" t="str">
        <f t="shared" si="10"/>
        <v>03/09/25 Miércoles</v>
      </c>
      <c r="C395" s="1" t="s">
        <v>10</v>
      </c>
      <c r="D395">
        <v>697</v>
      </c>
      <c r="E395" s="1">
        <v>1261</v>
      </c>
      <c r="F395" s="2">
        <v>1173</v>
      </c>
      <c r="G395" s="2">
        <v>88</v>
      </c>
      <c r="H395" s="2">
        <v>1096</v>
      </c>
      <c r="I395" s="1">
        <v>77</v>
      </c>
    </row>
    <row r="396" spans="1:9" ht="15" x14ac:dyDescent="0.25">
      <c r="A396" s="4">
        <v>45903</v>
      </c>
      <c r="B396" s="1" t="str">
        <f t="shared" si="10"/>
        <v>03/09/25 Miércoles</v>
      </c>
      <c r="C396" s="1" t="s">
        <v>11</v>
      </c>
      <c r="D396">
        <v>832</v>
      </c>
      <c r="E396" s="1">
        <v>655</v>
      </c>
      <c r="F396" s="2">
        <v>655</v>
      </c>
      <c r="G396" s="2">
        <v>0</v>
      </c>
      <c r="H396" s="2">
        <v>649</v>
      </c>
      <c r="I396" s="1">
        <v>6</v>
      </c>
    </row>
    <row r="397" spans="1:9" ht="15" x14ac:dyDescent="0.25">
      <c r="A397" s="4">
        <v>45903</v>
      </c>
      <c r="B397" s="1" t="str">
        <f t="shared" si="10"/>
        <v>03/09/25 Miércoles</v>
      </c>
      <c r="C397" s="1" t="s">
        <v>12</v>
      </c>
      <c r="D397">
        <v>352</v>
      </c>
      <c r="E397" s="1">
        <v>1265</v>
      </c>
      <c r="F397" s="2">
        <v>1226</v>
      </c>
      <c r="G397" s="2">
        <v>39</v>
      </c>
      <c r="H397" s="2">
        <v>1002</v>
      </c>
      <c r="I397" s="1">
        <v>224</v>
      </c>
    </row>
    <row r="398" spans="1:9" ht="15" x14ac:dyDescent="0.25">
      <c r="A398" s="4">
        <v>45903</v>
      </c>
      <c r="B398" s="1" t="str">
        <f t="shared" si="10"/>
        <v>03/09/25 Miércoles</v>
      </c>
      <c r="C398" s="1" t="s">
        <v>13</v>
      </c>
      <c r="D398">
        <v>896</v>
      </c>
      <c r="E398" s="1">
        <v>1108</v>
      </c>
      <c r="F398" s="2">
        <v>913</v>
      </c>
      <c r="G398" s="2">
        <v>195</v>
      </c>
      <c r="H398" s="2">
        <v>862</v>
      </c>
      <c r="I398" s="1">
        <v>51</v>
      </c>
    </row>
    <row r="399" spans="1:9" ht="15" x14ac:dyDescent="0.25">
      <c r="A399" s="4">
        <v>45903</v>
      </c>
      <c r="B399" s="1" t="str">
        <f t="shared" si="10"/>
        <v>03/09/25 Miércoles</v>
      </c>
      <c r="C399" s="1" t="s">
        <v>14</v>
      </c>
      <c r="D399">
        <v>1099</v>
      </c>
      <c r="E399" s="1">
        <v>566</v>
      </c>
      <c r="F399" s="2">
        <v>409</v>
      </c>
      <c r="G399" s="2">
        <v>157</v>
      </c>
      <c r="H399" s="2">
        <v>362</v>
      </c>
      <c r="I399" s="1">
        <v>47</v>
      </c>
    </row>
    <row r="400" spans="1:9" ht="15" x14ac:dyDescent="0.25">
      <c r="A400" s="4">
        <v>45903</v>
      </c>
      <c r="B400" s="1" t="str">
        <f t="shared" si="10"/>
        <v>03/09/25 Miércoles</v>
      </c>
      <c r="C400" s="1" t="s">
        <v>15</v>
      </c>
      <c r="D400">
        <v>663</v>
      </c>
      <c r="E400" s="1">
        <v>787</v>
      </c>
      <c r="F400" s="2">
        <v>769</v>
      </c>
      <c r="G400" s="2">
        <v>18</v>
      </c>
      <c r="H400" s="2">
        <v>702</v>
      </c>
      <c r="I400" s="1">
        <v>67</v>
      </c>
    </row>
    <row r="401" spans="1:9" ht="15" x14ac:dyDescent="0.25">
      <c r="A401" s="4">
        <v>45904</v>
      </c>
      <c r="B401" s="1" t="str">
        <f t="shared" si="10"/>
        <v>04/09/25 Jueves</v>
      </c>
      <c r="C401" s="1" t="s">
        <v>8</v>
      </c>
      <c r="D401">
        <v>690</v>
      </c>
      <c r="E401" s="1">
        <v>819</v>
      </c>
      <c r="F401" s="2">
        <v>725</v>
      </c>
      <c r="G401" s="2">
        <v>94</v>
      </c>
      <c r="H401" s="2">
        <v>662</v>
      </c>
      <c r="I401" s="1">
        <v>63</v>
      </c>
    </row>
    <row r="402" spans="1:9" ht="15" x14ac:dyDescent="0.25">
      <c r="A402" s="4">
        <v>45904</v>
      </c>
      <c r="B402" s="1" t="str">
        <f t="shared" si="10"/>
        <v>04/09/25 Jueves</v>
      </c>
      <c r="C402" s="1" t="s">
        <v>9</v>
      </c>
      <c r="D402">
        <v>253</v>
      </c>
      <c r="E402" s="1">
        <v>171</v>
      </c>
      <c r="F402" s="2">
        <v>167</v>
      </c>
      <c r="G402" s="2">
        <v>4</v>
      </c>
      <c r="H402" s="2">
        <v>167</v>
      </c>
      <c r="I402" s="1">
        <v>0</v>
      </c>
    </row>
    <row r="403" spans="1:9" ht="15" x14ac:dyDescent="0.25">
      <c r="A403" s="4">
        <v>45904</v>
      </c>
      <c r="B403" s="1" t="str">
        <f t="shared" si="10"/>
        <v>04/09/25 Jueves</v>
      </c>
      <c r="C403" s="1" t="s">
        <v>10</v>
      </c>
      <c r="D403">
        <v>945</v>
      </c>
      <c r="E403" s="1">
        <v>595</v>
      </c>
      <c r="F403" s="2">
        <v>543</v>
      </c>
      <c r="G403" s="2">
        <v>52</v>
      </c>
      <c r="H403" s="2">
        <v>537</v>
      </c>
      <c r="I403" s="1">
        <v>6</v>
      </c>
    </row>
    <row r="404" spans="1:9" ht="15" x14ac:dyDescent="0.25">
      <c r="A404" s="4">
        <v>45904</v>
      </c>
      <c r="B404" s="1" t="str">
        <f t="shared" si="10"/>
        <v>04/09/25 Jueves</v>
      </c>
      <c r="C404" s="1" t="s">
        <v>11</v>
      </c>
      <c r="D404">
        <v>951</v>
      </c>
      <c r="E404" s="1">
        <v>1168</v>
      </c>
      <c r="F404" s="2">
        <v>1095</v>
      </c>
      <c r="G404" s="2">
        <v>73</v>
      </c>
      <c r="H404" s="2">
        <v>1082</v>
      </c>
      <c r="I404" s="1">
        <v>13</v>
      </c>
    </row>
    <row r="405" spans="1:9" ht="15" x14ac:dyDescent="0.25">
      <c r="A405" s="4">
        <v>45904</v>
      </c>
      <c r="B405" s="1" t="str">
        <f t="shared" si="10"/>
        <v>04/09/25 Jueves</v>
      </c>
      <c r="C405" s="1" t="s">
        <v>12</v>
      </c>
      <c r="D405">
        <v>1035</v>
      </c>
      <c r="E405" s="1">
        <v>411</v>
      </c>
      <c r="F405" s="2">
        <v>381</v>
      </c>
      <c r="G405" s="2">
        <v>30</v>
      </c>
      <c r="H405" s="2">
        <v>356</v>
      </c>
      <c r="I405" s="1">
        <v>25</v>
      </c>
    </row>
    <row r="406" spans="1:9" ht="15" x14ac:dyDescent="0.25">
      <c r="A406" s="4">
        <v>45904</v>
      </c>
      <c r="B406" s="1" t="str">
        <f t="shared" si="10"/>
        <v>04/09/25 Jueves</v>
      </c>
      <c r="C406" s="1" t="s">
        <v>13</v>
      </c>
      <c r="D406">
        <v>474</v>
      </c>
      <c r="E406" s="1">
        <v>973</v>
      </c>
      <c r="F406" s="2">
        <v>821</v>
      </c>
      <c r="G406" s="2">
        <v>152</v>
      </c>
      <c r="H406" s="2">
        <v>776</v>
      </c>
      <c r="I406" s="1">
        <v>45</v>
      </c>
    </row>
    <row r="407" spans="1:9" ht="15" x14ac:dyDescent="0.25">
      <c r="A407" s="4">
        <v>45904</v>
      </c>
      <c r="B407" s="1" t="str">
        <f t="shared" si="10"/>
        <v>04/09/25 Jueves</v>
      </c>
      <c r="C407" s="1" t="s">
        <v>14</v>
      </c>
      <c r="D407">
        <v>286</v>
      </c>
      <c r="E407" s="1">
        <v>1287</v>
      </c>
      <c r="F407" s="2">
        <v>1232</v>
      </c>
      <c r="G407" s="2">
        <v>55</v>
      </c>
      <c r="H407" s="2">
        <v>1108</v>
      </c>
      <c r="I407" s="1">
        <v>124</v>
      </c>
    </row>
    <row r="408" spans="1:9" ht="15" x14ac:dyDescent="0.25">
      <c r="A408" s="4">
        <v>45904</v>
      </c>
      <c r="B408" s="1" t="str">
        <f t="shared" si="10"/>
        <v>04/09/25 Jueves</v>
      </c>
      <c r="C408" s="1" t="s">
        <v>15</v>
      </c>
      <c r="D408">
        <v>737</v>
      </c>
      <c r="E408" s="1">
        <v>798</v>
      </c>
      <c r="F408" s="2">
        <v>682</v>
      </c>
      <c r="G408" s="2">
        <v>116</v>
      </c>
      <c r="H408" s="2">
        <v>641</v>
      </c>
      <c r="I408" s="1">
        <v>41</v>
      </c>
    </row>
    <row r="409" spans="1:9" ht="15" x14ac:dyDescent="0.25">
      <c r="A409" s="4">
        <v>45905</v>
      </c>
      <c r="B409" s="1" t="str">
        <f t="shared" si="10"/>
        <v>05/09/25 Viernes</v>
      </c>
      <c r="C409" s="1" t="s">
        <v>8</v>
      </c>
      <c r="D409">
        <v>697</v>
      </c>
      <c r="E409" s="1">
        <v>972</v>
      </c>
      <c r="F409" s="2">
        <v>748</v>
      </c>
      <c r="G409" s="2">
        <v>224</v>
      </c>
      <c r="H409" s="2">
        <v>666</v>
      </c>
      <c r="I409" s="1">
        <v>82</v>
      </c>
    </row>
    <row r="410" spans="1:9" ht="15" x14ac:dyDescent="0.25">
      <c r="A410" s="4">
        <v>45905</v>
      </c>
      <c r="B410" s="1" t="str">
        <f t="shared" si="10"/>
        <v>05/09/25 Viernes</v>
      </c>
      <c r="C410" s="1" t="s">
        <v>9</v>
      </c>
      <c r="D410">
        <v>48</v>
      </c>
      <c r="E410" s="1">
        <v>144</v>
      </c>
      <c r="F410" s="2">
        <v>144</v>
      </c>
      <c r="G410" s="2">
        <v>0</v>
      </c>
      <c r="H410" s="2">
        <v>142</v>
      </c>
      <c r="I410" s="1">
        <v>2</v>
      </c>
    </row>
    <row r="411" spans="1:9" ht="15" x14ac:dyDescent="0.25">
      <c r="A411" s="4">
        <v>45905</v>
      </c>
      <c r="B411" s="1" t="str">
        <f t="shared" si="10"/>
        <v>05/09/25 Viernes</v>
      </c>
      <c r="C411" s="1" t="s">
        <v>10</v>
      </c>
      <c r="D411">
        <v>697</v>
      </c>
      <c r="E411" s="1">
        <v>1399</v>
      </c>
      <c r="F411" s="2">
        <v>1174</v>
      </c>
      <c r="G411" s="2">
        <v>225</v>
      </c>
      <c r="H411" s="2">
        <v>1152</v>
      </c>
      <c r="I411" s="1">
        <v>22</v>
      </c>
    </row>
    <row r="412" spans="1:9" ht="15" x14ac:dyDescent="0.25">
      <c r="A412" s="4">
        <v>45905</v>
      </c>
      <c r="B412" s="1" t="str">
        <f t="shared" si="10"/>
        <v>05/09/25 Viernes</v>
      </c>
      <c r="C412" s="1" t="s">
        <v>11</v>
      </c>
      <c r="D412">
        <v>832</v>
      </c>
      <c r="E412" s="1">
        <v>736</v>
      </c>
      <c r="F412" s="2">
        <v>736</v>
      </c>
      <c r="G412" s="2">
        <v>0</v>
      </c>
      <c r="H412" s="2">
        <v>719</v>
      </c>
      <c r="I412" s="1">
        <v>17</v>
      </c>
    </row>
    <row r="413" spans="1:9" ht="15" x14ac:dyDescent="0.25">
      <c r="A413" s="4">
        <v>45905</v>
      </c>
      <c r="B413" s="1" t="str">
        <f t="shared" si="10"/>
        <v>05/09/25 Viernes</v>
      </c>
      <c r="C413" s="1" t="s">
        <v>12</v>
      </c>
      <c r="D413">
        <v>352</v>
      </c>
      <c r="E413" s="1">
        <v>1209</v>
      </c>
      <c r="F413" s="2">
        <v>961</v>
      </c>
      <c r="G413" s="2">
        <v>248</v>
      </c>
      <c r="H413" s="2">
        <v>877</v>
      </c>
      <c r="I413" s="1">
        <v>84</v>
      </c>
    </row>
    <row r="414" spans="1:9" ht="15" x14ac:dyDescent="0.25">
      <c r="A414" s="4">
        <v>45905</v>
      </c>
      <c r="B414" s="1" t="str">
        <f t="shared" si="10"/>
        <v>05/09/25 Viernes</v>
      </c>
      <c r="C414" s="1" t="s">
        <v>13</v>
      </c>
      <c r="D414">
        <v>926</v>
      </c>
      <c r="E414" s="1">
        <v>899</v>
      </c>
      <c r="F414" s="2">
        <v>875</v>
      </c>
      <c r="G414" s="2">
        <v>24</v>
      </c>
      <c r="H414" s="2">
        <v>844</v>
      </c>
      <c r="I414" s="1">
        <v>31</v>
      </c>
    </row>
    <row r="415" spans="1:9" ht="15" x14ac:dyDescent="0.25">
      <c r="A415" s="4">
        <v>45905</v>
      </c>
      <c r="B415" s="1" t="str">
        <f t="shared" si="10"/>
        <v>05/09/25 Viernes</v>
      </c>
      <c r="C415" s="1" t="s">
        <v>14</v>
      </c>
      <c r="D415">
        <v>1099</v>
      </c>
      <c r="E415" s="1">
        <v>516</v>
      </c>
      <c r="F415" s="2">
        <v>477</v>
      </c>
      <c r="G415" s="2">
        <v>39</v>
      </c>
      <c r="H415" s="2">
        <v>409</v>
      </c>
      <c r="I415" s="1">
        <v>68</v>
      </c>
    </row>
    <row r="416" spans="1:9" ht="15" x14ac:dyDescent="0.25">
      <c r="A416" s="4">
        <v>45905</v>
      </c>
      <c r="B416" s="1" t="str">
        <f t="shared" si="10"/>
        <v>05/09/25 Viernes</v>
      </c>
      <c r="C416" s="1" t="s">
        <v>15</v>
      </c>
      <c r="D416">
        <v>663</v>
      </c>
      <c r="E416" s="1">
        <v>727</v>
      </c>
      <c r="F416" s="2">
        <v>675</v>
      </c>
      <c r="G416" s="2">
        <v>52</v>
      </c>
      <c r="H416" s="2">
        <v>610</v>
      </c>
      <c r="I416" s="1">
        <v>65</v>
      </c>
    </row>
    <row r="417" spans="1:9" ht="15" x14ac:dyDescent="0.25">
      <c r="A417" s="4">
        <v>45906</v>
      </c>
      <c r="B417" s="1" t="str">
        <f t="shared" si="10"/>
        <v>06/09/25 Sábado</v>
      </c>
      <c r="C417" s="1" t="s">
        <v>8</v>
      </c>
      <c r="D417">
        <v>690</v>
      </c>
      <c r="E417" s="1">
        <v>858</v>
      </c>
      <c r="F417" s="2">
        <v>724</v>
      </c>
      <c r="G417" s="2">
        <v>134</v>
      </c>
      <c r="H417" s="2">
        <v>677</v>
      </c>
      <c r="I417" s="1">
        <v>47</v>
      </c>
    </row>
    <row r="418" spans="1:9" ht="15" x14ac:dyDescent="0.25">
      <c r="A418" s="4">
        <v>45906</v>
      </c>
      <c r="B418" s="1" t="str">
        <f t="shared" si="10"/>
        <v>06/09/25 Sábado</v>
      </c>
      <c r="C418" s="1" t="s">
        <v>9</v>
      </c>
      <c r="D418">
        <v>0</v>
      </c>
      <c r="E418" s="1">
        <v>4</v>
      </c>
      <c r="F418" s="2">
        <v>4</v>
      </c>
      <c r="G418" s="2">
        <v>0</v>
      </c>
      <c r="H418" s="2">
        <v>4</v>
      </c>
      <c r="I418" s="1">
        <v>0</v>
      </c>
    </row>
    <row r="419" spans="1:9" ht="15" x14ac:dyDescent="0.25">
      <c r="A419" s="4">
        <v>45906</v>
      </c>
      <c r="B419" s="1" t="str">
        <f t="shared" si="10"/>
        <v>06/09/25 Sábado</v>
      </c>
      <c r="C419" s="1" t="s">
        <v>10</v>
      </c>
      <c r="D419">
        <v>0</v>
      </c>
      <c r="E419" s="1">
        <v>209</v>
      </c>
      <c r="F419" s="2">
        <v>209</v>
      </c>
      <c r="G419" s="2">
        <v>0</v>
      </c>
      <c r="H419" s="2">
        <v>192</v>
      </c>
      <c r="I419" s="1">
        <v>17</v>
      </c>
    </row>
    <row r="420" spans="1:9" ht="15" x14ac:dyDescent="0.25">
      <c r="A420" s="4">
        <v>45906</v>
      </c>
      <c r="B420" s="1" t="str">
        <f t="shared" si="10"/>
        <v>06/09/25 Sábado</v>
      </c>
      <c r="C420" s="1" t="s">
        <v>12</v>
      </c>
      <c r="D420">
        <v>935</v>
      </c>
      <c r="E420" s="1">
        <v>458</v>
      </c>
      <c r="F420" s="2">
        <v>368</v>
      </c>
      <c r="G420" s="2">
        <v>90</v>
      </c>
      <c r="H420" s="2">
        <v>337</v>
      </c>
      <c r="I420" s="1">
        <v>31</v>
      </c>
    </row>
    <row r="421" spans="1:9" ht="15" x14ac:dyDescent="0.25">
      <c r="A421" s="4">
        <v>45906</v>
      </c>
      <c r="B421" s="1" t="str">
        <f t="shared" si="10"/>
        <v>06/09/25 Sábado</v>
      </c>
      <c r="C421" s="1" t="s">
        <v>13</v>
      </c>
      <c r="D421">
        <v>288</v>
      </c>
      <c r="E421" s="1">
        <v>311</v>
      </c>
      <c r="F421" s="2">
        <v>263</v>
      </c>
      <c r="G421" s="2">
        <v>48</v>
      </c>
      <c r="H421" s="2">
        <v>241</v>
      </c>
      <c r="I421" s="1">
        <v>22</v>
      </c>
    </row>
    <row r="422" spans="1:9" ht="15" x14ac:dyDescent="0.25">
      <c r="A422" s="4">
        <v>45906</v>
      </c>
      <c r="B422" s="1" t="str">
        <f t="shared" si="10"/>
        <v>06/09/25 Sábado</v>
      </c>
      <c r="C422" s="1" t="s">
        <v>14</v>
      </c>
      <c r="D422">
        <v>286</v>
      </c>
      <c r="E422" s="1">
        <v>1033</v>
      </c>
      <c r="F422" s="2">
        <v>767</v>
      </c>
      <c r="G422" s="2">
        <v>266</v>
      </c>
      <c r="H422" s="2">
        <v>700</v>
      </c>
      <c r="I422" s="1">
        <v>67</v>
      </c>
    </row>
    <row r="423" spans="1:9" ht="15" x14ac:dyDescent="0.25">
      <c r="A423" s="4">
        <v>45906</v>
      </c>
      <c r="B423" s="1" t="str">
        <f t="shared" si="10"/>
        <v>06/09/25 Sábado</v>
      </c>
      <c r="C423" s="1" t="s">
        <v>15</v>
      </c>
      <c r="D423">
        <v>737</v>
      </c>
      <c r="E423" s="1">
        <v>734</v>
      </c>
      <c r="F423" s="2">
        <v>671</v>
      </c>
      <c r="G423" s="2">
        <v>63</v>
      </c>
      <c r="H423" s="2">
        <v>621</v>
      </c>
      <c r="I423" s="1">
        <v>50</v>
      </c>
    </row>
    <row r="424" spans="1:9" ht="15" x14ac:dyDescent="0.25">
      <c r="A424" s="4">
        <v>45907</v>
      </c>
      <c r="B424" s="1" t="str">
        <f t="shared" si="10"/>
        <v>07/09/25 Domingo</v>
      </c>
      <c r="C424" s="1" t="s">
        <v>8</v>
      </c>
      <c r="D424">
        <v>141</v>
      </c>
      <c r="E424" s="1">
        <v>135</v>
      </c>
      <c r="F424" s="2">
        <v>118</v>
      </c>
      <c r="G424" s="2">
        <v>17</v>
      </c>
      <c r="H424" s="2">
        <v>111</v>
      </c>
      <c r="I424" s="1">
        <v>7</v>
      </c>
    </row>
    <row r="425" spans="1:9" ht="15" x14ac:dyDescent="0.25">
      <c r="A425" s="4">
        <v>45907</v>
      </c>
      <c r="B425" s="1" t="str">
        <f t="shared" si="10"/>
        <v>07/09/25 Domingo</v>
      </c>
      <c r="C425" s="1" t="s">
        <v>9</v>
      </c>
      <c r="D425">
        <v>301</v>
      </c>
      <c r="E425" s="1">
        <v>255</v>
      </c>
      <c r="F425" s="2">
        <v>230</v>
      </c>
      <c r="G425" s="2">
        <v>25</v>
      </c>
      <c r="H425" s="2">
        <v>229</v>
      </c>
      <c r="I425" s="1">
        <v>1</v>
      </c>
    </row>
    <row r="426" spans="1:9" ht="15" x14ac:dyDescent="0.25">
      <c r="A426" s="4">
        <v>45907</v>
      </c>
      <c r="B426" s="1" t="str">
        <f t="shared" si="10"/>
        <v>07/09/25 Domingo</v>
      </c>
      <c r="C426" s="1" t="s">
        <v>10</v>
      </c>
      <c r="D426">
        <v>945</v>
      </c>
      <c r="E426" s="1">
        <v>852</v>
      </c>
      <c r="F426" s="2">
        <v>756</v>
      </c>
      <c r="G426" s="2">
        <v>96</v>
      </c>
      <c r="H426" s="2">
        <v>725</v>
      </c>
      <c r="I426" s="1">
        <v>31</v>
      </c>
    </row>
    <row r="427" spans="1:9" ht="15" x14ac:dyDescent="0.25">
      <c r="A427" s="4">
        <v>45907</v>
      </c>
      <c r="B427" s="1" t="str">
        <f t="shared" si="10"/>
        <v>07/09/25 Domingo</v>
      </c>
      <c r="C427" s="1" t="s">
        <v>11</v>
      </c>
      <c r="D427">
        <v>1783</v>
      </c>
      <c r="E427" s="1">
        <v>1170</v>
      </c>
      <c r="F427" s="2">
        <v>1110</v>
      </c>
      <c r="G427" s="2">
        <v>60</v>
      </c>
      <c r="H427" s="2">
        <v>1103</v>
      </c>
      <c r="I427" s="1">
        <v>7</v>
      </c>
    </row>
    <row r="428" spans="1:9" ht="15" x14ac:dyDescent="0.25">
      <c r="A428" s="4">
        <v>45907</v>
      </c>
      <c r="B428" s="1" t="str">
        <f t="shared" si="10"/>
        <v>07/09/25 Domingo</v>
      </c>
      <c r="C428" s="1" t="s">
        <v>12</v>
      </c>
      <c r="D428">
        <v>452</v>
      </c>
      <c r="E428" s="1">
        <v>214</v>
      </c>
      <c r="F428" s="2">
        <v>182</v>
      </c>
      <c r="G428" s="2">
        <v>32</v>
      </c>
      <c r="H428" s="2">
        <v>164</v>
      </c>
      <c r="I428" s="1">
        <v>18</v>
      </c>
    </row>
    <row r="429" spans="1:9" ht="15" x14ac:dyDescent="0.25">
      <c r="A429" s="4">
        <v>45907</v>
      </c>
      <c r="B429" s="1" t="str">
        <f t="shared" si="10"/>
        <v>07/09/25 Domingo</v>
      </c>
      <c r="C429" s="1" t="s">
        <v>13</v>
      </c>
      <c r="D429">
        <v>414</v>
      </c>
      <c r="E429" s="1">
        <v>1035</v>
      </c>
      <c r="F429" s="2">
        <v>1001</v>
      </c>
      <c r="G429" s="2">
        <v>34</v>
      </c>
      <c r="H429" s="2">
        <v>973</v>
      </c>
      <c r="I429" s="1">
        <v>28</v>
      </c>
    </row>
    <row r="430" spans="1:9" ht="15" x14ac:dyDescent="0.25">
      <c r="A430" s="4">
        <v>45907</v>
      </c>
      <c r="B430" s="1" t="str">
        <f t="shared" si="10"/>
        <v>07/09/25 Domingo</v>
      </c>
      <c r="C430" s="1" t="s">
        <v>14</v>
      </c>
      <c r="D430">
        <v>0</v>
      </c>
      <c r="E430" s="1">
        <v>306</v>
      </c>
      <c r="F430" s="2">
        <v>252</v>
      </c>
      <c r="G430" s="2">
        <v>54</v>
      </c>
      <c r="H430" s="2">
        <v>226</v>
      </c>
      <c r="I430" s="1">
        <v>26</v>
      </c>
    </row>
    <row r="431" spans="1:9" ht="15" x14ac:dyDescent="0.25">
      <c r="A431" s="4">
        <v>45907</v>
      </c>
      <c r="B431" s="1" t="str">
        <f t="shared" si="10"/>
        <v>07/09/25 Domingo</v>
      </c>
      <c r="C431" s="1" t="s">
        <v>15</v>
      </c>
      <c r="D431">
        <v>0</v>
      </c>
      <c r="E431" s="1">
        <v>301</v>
      </c>
      <c r="F431" s="2">
        <v>286</v>
      </c>
      <c r="G431" s="2">
        <v>15</v>
      </c>
      <c r="H431" s="2">
        <v>269</v>
      </c>
      <c r="I431" s="1">
        <v>17</v>
      </c>
    </row>
    <row r="432" spans="1:9" ht="15" x14ac:dyDescent="0.25">
      <c r="A432" s="4">
        <v>45908</v>
      </c>
      <c r="B432" s="1" t="str">
        <f t="shared" si="10"/>
        <v>08/09/25 Lunes</v>
      </c>
      <c r="C432" s="1" t="s">
        <v>8</v>
      </c>
      <c r="D432">
        <v>694</v>
      </c>
      <c r="E432" s="1">
        <v>1051</v>
      </c>
      <c r="F432" s="2">
        <v>804</v>
      </c>
      <c r="G432" s="2">
        <v>247</v>
      </c>
      <c r="H432" s="2">
        <v>715</v>
      </c>
      <c r="I432" s="1">
        <v>89</v>
      </c>
    </row>
    <row r="433" spans="1:9" ht="15" x14ac:dyDescent="0.25">
      <c r="A433" s="4">
        <v>45908</v>
      </c>
      <c r="B433" s="1" t="str">
        <f t="shared" si="10"/>
        <v>08/09/25 Lunes</v>
      </c>
      <c r="C433" s="1" t="s">
        <v>9</v>
      </c>
      <c r="D433">
        <v>48</v>
      </c>
      <c r="E433" s="1">
        <v>74</v>
      </c>
      <c r="F433" s="2">
        <v>74</v>
      </c>
      <c r="G433" s="2">
        <v>0</v>
      </c>
      <c r="H433" s="2">
        <v>74</v>
      </c>
      <c r="I433" s="1">
        <v>0</v>
      </c>
    </row>
    <row r="434" spans="1:9" ht="15" x14ac:dyDescent="0.25">
      <c r="A434" s="4">
        <v>45908</v>
      </c>
      <c r="B434" s="1" t="str">
        <f t="shared" si="10"/>
        <v>08/09/25 Lunes</v>
      </c>
      <c r="C434" s="1" t="s">
        <v>10</v>
      </c>
      <c r="D434">
        <v>697</v>
      </c>
      <c r="E434" s="1">
        <v>1225</v>
      </c>
      <c r="F434" s="2">
        <v>897</v>
      </c>
      <c r="G434" s="2">
        <v>328</v>
      </c>
      <c r="H434" s="2">
        <v>872</v>
      </c>
      <c r="I434" s="1">
        <v>25</v>
      </c>
    </row>
    <row r="435" spans="1:9" ht="15" x14ac:dyDescent="0.25">
      <c r="A435" s="4">
        <v>45908</v>
      </c>
      <c r="B435" s="1" t="str">
        <f t="shared" si="10"/>
        <v>08/09/25 Lunes</v>
      </c>
      <c r="C435" s="1" t="s">
        <v>11</v>
      </c>
      <c r="D435">
        <v>951</v>
      </c>
      <c r="E435" s="1">
        <v>709</v>
      </c>
      <c r="F435" s="2">
        <v>709</v>
      </c>
      <c r="G435" s="2">
        <v>0</v>
      </c>
      <c r="H435" s="2">
        <v>701</v>
      </c>
      <c r="I435" s="1">
        <v>8</v>
      </c>
    </row>
    <row r="436" spans="1:9" ht="15" x14ac:dyDescent="0.25">
      <c r="A436" s="4">
        <v>45908</v>
      </c>
      <c r="B436" s="1" t="str">
        <f t="shared" si="10"/>
        <v>08/09/25 Lunes</v>
      </c>
      <c r="C436" s="1" t="s">
        <v>12</v>
      </c>
      <c r="D436">
        <v>452</v>
      </c>
      <c r="E436" s="1">
        <v>1054</v>
      </c>
      <c r="F436" s="2">
        <v>742</v>
      </c>
      <c r="G436" s="2">
        <v>312</v>
      </c>
      <c r="H436" s="2">
        <v>673</v>
      </c>
      <c r="I436" s="1">
        <v>69</v>
      </c>
    </row>
    <row r="437" spans="1:9" ht="15" x14ac:dyDescent="0.25">
      <c r="A437" s="4">
        <v>45908</v>
      </c>
      <c r="B437" s="1" t="str">
        <f t="shared" si="10"/>
        <v>08/09/25 Lunes</v>
      </c>
      <c r="C437" s="1" t="s">
        <v>13</v>
      </c>
      <c r="D437">
        <v>926</v>
      </c>
      <c r="E437" s="1">
        <v>854</v>
      </c>
      <c r="F437" s="2">
        <v>705</v>
      </c>
      <c r="G437" s="2">
        <v>149</v>
      </c>
      <c r="H437" s="2">
        <v>679</v>
      </c>
      <c r="I437" s="1">
        <v>26</v>
      </c>
    </row>
    <row r="438" spans="1:9" ht="15" x14ac:dyDescent="0.25">
      <c r="A438" s="4">
        <v>45908</v>
      </c>
      <c r="B438" s="1" t="str">
        <f t="shared" si="10"/>
        <v>08/09/25 Lunes</v>
      </c>
      <c r="C438" s="1" t="s">
        <v>14</v>
      </c>
      <c r="D438">
        <v>1099</v>
      </c>
      <c r="E438" s="1">
        <v>742</v>
      </c>
      <c r="F438" s="2">
        <v>371</v>
      </c>
      <c r="G438" s="2">
        <v>371</v>
      </c>
      <c r="H438" s="2">
        <v>330</v>
      </c>
      <c r="I438" s="1">
        <v>41</v>
      </c>
    </row>
    <row r="439" spans="1:9" ht="15" x14ac:dyDescent="0.25">
      <c r="A439" s="4">
        <v>45908</v>
      </c>
      <c r="B439" s="1" t="str">
        <f t="shared" si="10"/>
        <v>08/09/25 Lunes</v>
      </c>
      <c r="C439" s="1" t="s">
        <v>15</v>
      </c>
      <c r="D439">
        <v>663</v>
      </c>
      <c r="E439" s="1">
        <v>760</v>
      </c>
      <c r="F439" s="2">
        <v>497</v>
      </c>
      <c r="G439" s="2">
        <v>263</v>
      </c>
      <c r="H439" s="2">
        <v>452</v>
      </c>
      <c r="I439" s="1">
        <v>45</v>
      </c>
    </row>
    <row r="440" spans="1:9" ht="15" x14ac:dyDescent="0.25">
      <c r="A440" s="4">
        <v>45909</v>
      </c>
      <c r="B440" s="1" t="str">
        <f t="shared" si="10"/>
        <v>09/09/25 Martes</v>
      </c>
      <c r="C440" s="1" t="s">
        <v>8</v>
      </c>
      <c r="D440">
        <v>693</v>
      </c>
      <c r="E440" s="1">
        <v>541</v>
      </c>
      <c r="F440" s="2">
        <v>499</v>
      </c>
      <c r="G440" s="2">
        <v>42</v>
      </c>
      <c r="H440" s="2">
        <v>458</v>
      </c>
      <c r="I440" s="1">
        <v>41</v>
      </c>
    </row>
    <row r="441" spans="1:9" ht="15" x14ac:dyDescent="0.25">
      <c r="A441" s="4">
        <v>45909</v>
      </c>
      <c r="B441" s="1" t="str">
        <f t="shared" si="10"/>
        <v>09/09/25 Martes</v>
      </c>
      <c r="C441" s="1" t="s">
        <v>9</v>
      </c>
      <c r="D441">
        <v>253</v>
      </c>
      <c r="E441" s="1">
        <v>253</v>
      </c>
      <c r="F441" s="2">
        <v>251</v>
      </c>
      <c r="G441" s="2">
        <v>2</v>
      </c>
      <c r="H441" s="2">
        <v>244</v>
      </c>
      <c r="I441" s="1">
        <v>7</v>
      </c>
    </row>
    <row r="442" spans="1:9" ht="15" x14ac:dyDescent="0.25">
      <c r="A442" s="4">
        <v>45909</v>
      </c>
      <c r="B442" s="1" t="str">
        <f t="shared" si="10"/>
        <v>09/09/25 Martes</v>
      </c>
      <c r="C442" s="1" t="s">
        <v>10</v>
      </c>
      <c r="D442">
        <v>945</v>
      </c>
      <c r="E442" s="1">
        <v>614</v>
      </c>
      <c r="F442" s="2">
        <v>542</v>
      </c>
      <c r="G442" s="2">
        <v>72</v>
      </c>
      <c r="H442" s="2">
        <v>529</v>
      </c>
      <c r="I442" s="1">
        <v>13</v>
      </c>
    </row>
    <row r="443" spans="1:9" ht="15" x14ac:dyDescent="0.25">
      <c r="A443" s="4">
        <v>45909</v>
      </c>
      <c r="B443" s="1" t="str">
        <f t="shared" si="10"/>
        <v>09/09/25 Martes</v>
      </c>
      <c r="C443" s="1" t="s">
        <v>11</v>
      </c>
      <c r="D443">
        <v>832</v>
      </c>
      <c r="E443" s="1">
        <v>1167</v>
      </c>
      <c r="F443" s="2">
        <v>1140</v>
      </c>
      <c r="G443" s="2">
        <v>27</v>
      </c>
      <c r="H443" s="2">
        <v>1129</v>
      </c>
      <c r="I443" s="1">
        <v>11</v>
      </c>
    </row>
    <row r="444" spans="1:9" ht="15" x14ac:dyDescent="0.25">
      <c r="A444" s="4">
        <v>45909</v>
      </c>
      <c r="B444" s="1" t="str">
        <f t="shared" si="10"/>
        <v>09/09/25 Martes</v>
      </c>
      <c r="C444" s="1" t="s">
        <v>12</v>
      </c>
      <c r="D444">
        <v>935</v>
      </c>
      <c r="E444" s="1">
        <v>689</v>
      </c>
      <c r="F444" s="2">
        <v>480</v>
      </c>
      <c r="G444" s="2">
        <v>209</v>
      </c>
      <c r="H444" s="2">
        <v>441</v>
      </c>
      <c r="I444" s="1">
        <v>39</v>
      </c>
    </row>
    <row r="445" spans="1:9" ht="15" x14ac:dyDescent="0.25">
      <c r="A445" s="4">
        <v>45909</v>
      </c>
      <c r="B445" s="1" t="str">
        <f t="shared" si="10"/>
        <v>09/09/25 Martes</v>
      </c>
      <c r="C445" s="1" t="s">
        <v>13</v>
      </c>
      <c r="D445">
        <v>480</v>
      </c>
      <c r="E445" s="1">
        <v>338</v>
      </c>
      <c r="F445" s="2">
        <v>298</v>
      </c>
      <c r="G445" s="2">
        <v>40</v>
      </c>
      <c r="H445" s="2">
        <v>277</v>
      </c>
      <c r="I445" s="1">
        <v>21</v>
      </c>
    </row>
    <row r="446" spans="1:9" ht="15" x14ac:dyDescent="0.25">
      <c r="A446" s="4">
        <v>45909</v>
      </c>
      <c r="B446" s="1" t="str">
        <f t="shared" si="10"/>
        <v>09/09/25 Martes</v>
      </c>
      <c r="C446" s="1" t="s">
        <v>14</v>
      </c>
      <c r="D446">
        <v>286</v>
      </c>
      <c r="E446" s="1">
        <v>1070</v>
      </c>
      <c r="F446" s="2">
        <v>756</v>
      </c>
      <c r="G446" s="2">
        <v>314</v>
      </c>
      <c r="H446" s="2">
        <v>693</v>
      </c>
      <c r="I446" s="1">
        <v>63</v>
      </c>
    </row>
    <row r="447" spans="1:9" ht="15" x14ac:dyDescent="0.25">
      <c r="A447" s="4">
        <v>45909</v>
      </c>
      <c r="B447" s="1" t="str">
        <f t="shared" si="10"/>
        <v>09/09/25 Martes</v>
      </c>
      <c r="C447" s="1" t="s">
        <v>15</v>
      </c>
      <c r="D447">
        <v>737</v>
      </c>
      <c r="E447" s="1">
        <v>1041</v>
      </c>
      <c r="F447" s="2">
        <v>707</v>
      </c>
      <c r="G447" s="2">
        <v>334</v>
      </c>
      <c r="H447" s="2">
        <v>659</v>
      </c>
      <c r="I447" s="1">
        <v>48</v>
      </c>
    </row>
    <row r="448" spans="1:9" ht="12.75" x14ac:dyDescent="0.2">
      <c r="A448" s="3">
        <v>45910</v>
      </c>
      <c r="B448" s="1" t="str">
        <f t="shared" si="10"/>
        <v>10/09/25 Miércoles</v>
      </c>
      <c r="C448" s="1" t="s">
        <v>8</v>
      </c>
      <c r="D448" s="1">
        <v>522</v>
      </c>
      <c r="E448" s="2">
        <v>1163</v>
      </c>
      <c r="F448" s="2">
        <v>957</v>
      </c>
      <c r="G448" s="2">
        <v>206</v>
      </c>
      <c r="H448" s="1">
        <v>873</v>
      </c>
      <c r="I448" s="2">
        <v>84</v>
      </c>
    </row>
    <row r="449" spans="1:9" ht="12.75" x14ac:dyDescent="0.2">
      <c r="A449" s="3">
        <v>45910</v>
      </c>
      <c r="B449" s="1" t="str">
        <f t="shared" si="10"/>
        <v>10/09/25 Miércoles</v>
      </c>
      <c r="C449" s="1" t="s">
        <v>9</v>
      </c>
      <c r="D449" s="1">
        <v>48</v>
      </c>
      <c r="E449" s="2">
        <v>52</v>
      </c>
      <c r="F449" s="2">
        <v>52</v>
      </c>
      <c r="G449" s="2">
        <v>0</v>
      </c>
      <c r="H449" s="1">
        <v>52</v>
      </c>
      <c r="I449" s="2">
        <v>0</v>
      </c>
    </row>
    <row r="450" spans="1:9" ht="12.75" x14ac:dyDescent="0.2">
      <c r="A450" s="3">
        <v>45910</v>
      </c>
      <c r="B450" s="1" t="str">
        <f t="shared" si="10"/>
        <v>10/09/25 Miércoles</v>
      </c>
      <c r="C450" s="1" t="s">
        <v>10</v>
      </c>
      <c r="D450" s="1">
        <v>843</v>
      </c>
      <c r="E450" s="2">
        <v>1142</v>
      </c>
      <c r="F450" s="2">
        <v>1063</v>
      </c>
      <c r="G450" s="2">
        <v>79</v>
      </c>
      <c r="H450" s="1">
        <v>985</v>
      </c>
      <c r="I450" s="2">
        <v>78</v>
      </c>
    </row>
    <row r="451" spans="1:9" ht="12.75" x14ac:dyDescent="0.2">
      <c r="A451" s="3">
        <v>45910</v>
      </c>
      <c r="B451" s="1" t="str">
        <f t="shared" ref="B451:B514" si="11">PROPER(TEXT(A451,"[$-es-ES]dd/mm/yy dddd"))</f>
        <v>10/09/25 Miércoles</v>
      </c>
      <c r="C451" s="1" t="s">
        <v>11</v>
      </c>
      <c r="D451" s="1">
        <v>795</v>
      </c>
      <c r="E451" s="2">
        <v>678</v>
      </c>
      <c r="F451" s="2">
        <v>673</v>
      </c>
      <c r="G451" s="2">
        <v>6</v>
      </c>
      <c r="H451" s="1">
        <v>665</v>
      </c>
      <c r="I451" s="2">
        <v>8</v>
      </c>
    </row>
    <row r="452" spans="1:9" ht="12.75" x14ac:dyDescent="0.2">
      <c r="A452" s="3">
        <v>45910</v>
      </c>
      <c r="B452" s="1" t="str">
        <f t="shared" si="11"/>
        <v>10/09/25 Miércoles</v>
      </c>
      <c r="C452" s="1" t="s">
        <v>12</v>
      </c>
      <c r="D452" s="1">
        <v>445</v>
      </c>
      <c r="E452" s="2">
        <v>968</v>
      </c>
      <c r="F452" s="2">
        <v>730</v>
      </c>
      <c r="G452" s="2">
        <v>238</v>
      </c>
      <c r="H452" s="1">
        <v>654</v>
      </c>
      <c r="I452" s="2">
        <v>76</v>
      </c>
    </row>
    <row r="453" spans="1:9" ht="12.75" x14ac:dyDescent="0.2">
      <c r="A453" s="3">
        <v>45910</v>
      </c>
      <c r="B453" s="1" t="str">
        <f t="shared" si="11"/>
        <v>10/09/25 Miércoles</v>
      </c>
      <c r="C453" s="1" t="s">
        <v>13</v>
      </c>
      <c r="D453" s="1">
        <v>946</v>
      </c>
      <c r="E453" s="2">
        <v>994</v>
      </c>
      <c r="F453" s="2">
        <v>879</v>
      </c>
      <c r="G453" s="2">
        <v>115</v>
      </c>
      <c r="H453" s="1">
        <v>848</v>
      </c>
      <c r="I453" s="2">
        <v>31</v>
      </c>
    </row>
    <row r="454" spans="1:9" ht="12.75" x14ac:dyDescent="0.2">
      <c r="A454" s="3">
        <v>45910</v>
      </c>
      <c r="B454" s="1" t="str">
        <f t="shared" si="11"/>
        <v>10/09/25 Miércoles</v>
      </c>
      <c r="C454" s="1" t="s">
        <v>14</v>
      </c>
      <c r="D454" s="1">
        <v>1097</v>
      </c>
      <c r="E454" s="2">
        <v>701</v>
      </c>
      <c r="F454" s="2">
        <v>388</v>
      </c>
      <c r="G454" s="2">
        <v>313</v>
      </c>
      <c r="H454" s="1">
        <v>330</v>
      </c>
      <c r="I454" s="2">
        <v>58</v>
      </c>
    </row>
    <row r="455" spans="1:9" ht="12.75" x14ac:dyDescent="0.2">
      <c r="A455" s="3">
        <v>45910</v>
      </c>
      <c r="B455" s="1" t="str">
        <f t="shared" si="11"/>
        <v>10/09/25 Miércoles</v>
      </c>
      <c r="C455" s="1" t="s">
        <v>15</v>
      </c>
      <c r="D455" s="1">
        <v>664</v>
      </c>
      <c r="E455" s="2">
        <v>441</v>
      </c>
      <c r="F455" s="2">
        <v>357</v>
      </c>
      <c r="G455" s="2">
        <v>84</v>
      </c>
      <c r="H455" s="1">
        <v>333</v>
      </c>
      <c r="I455" s="2">
        <v>24</v>
      </c>
    </row>
    <row r="456" spans="1:9" ht="12.75" x14ac:dyDescent="0.2">
      <c r="A456" s="3">
        <v>45911</v>
      </c>
      <c r="B456" s="1" t="str">
        <f t="shared" si="11"/>
        <v>11/09/25 Jueves</v>
      </c>
      <c r="C456" s="1" t="s">
        <v>8</v>
      </c>
      <c r="D456" s="1">
        <v>865</v>
      </c>
      <c r="E456" s="2">
        <v>682</v>
      </c>
      <c r="F456" s="2">
        <v>530</v>
      </c>
      <c r="G456" s="2">
        <v>152</v>
      </c>
      <c r="H456" s="1">
        <v>472</v>
      </c>
      <c r="I456" s="2">
        <v>58</v>
      </c>
    </row>
    <row r="457" spans="1:9" ht="12.75" x14ac:dyDescent="0.2">
      <c r="A457" s="3">
        <v>45911</v>
      </c>
      <c r="B457" s="1" t="str">
        <f t="shared" si="11"/>
        <v>11/09/25 Jueves</v>
      </c>
      <c r="C457" s="1" t="s">
        <v>9</v>
      </c>
      <c r="D457" s="1">
        <v>253</v>
      </c>
      <c r="E457" s="2">
        <v>229</v>
      </c>
      <c r="F457" s="2">
        <v>231</v>
      </c>
      <c r="G457" s="2">
        <v>22</v>
      </c>
      <c r="H457" s="1">
        <v>229</v>
      </c>
      <c r="I457" s="2">
        <v>2</v>
      </c>
    </row>
    <row r="458" spans="1:9" ht="12.75" x14ac:dyDescent="0.2">
      <c r="A458" s="3">
        <v>45911</v>
      </c>
      <c r="B458" s="1" t="str">
        <f t="shared" si="11"/>
        <v>11/09/25 Jueves</v>
      </c>
      <c r="C458" s="1" t="s">
        <v>10</v>
      </c>
      <c r="D458" s="1">
        <v>801</v>
      </c>
      <c r="E458" s="2">
        <v>438</v>
      </c>
      <c r="F458" s="2">
        <v>370</v>
      </c>
      <c r="G458" s="2">
        <v>68</v>
      </c>
      <c r="H458" s="1">
        <v>362</v>
      </c>
      <c r="I458" s="2">
        <v>8</v>
      </c>
    </row>
    <row r="459" spans="1:9" ht="12.75" x14ac:dyDescent="0.2">
      <c r="A459" s="3">
        <v>45911</v>
      </c>
      <c r="B459" s="1" t="str">
        <f t="shared" si="11"/>
        <v>11/09/25 Jueves</v>
      </c>
      <c r="C459" s="1" t="s">
        <v>11</v>
      </c>
      <c r="D459" s="1">
        <v>949</v>
      </c>
      <c r="E459" s="2">
        <v>1160</v>
      </c>
      <c r="F459" s="2">
        <v>1160</v>
      </c>
      <c r="G459" s="2">
        <v>9</v>
      </c>
      <c r="H459" s="1">
        <v>1150</v>
      </c>
      <c r="I459" s="2">
        <v>10</v>
      </c>
    </row>
    <row r="460" spans="1:9" ht="12.75" x14ac:dyDescent="0.2">
      <c r="A460" s="3">
        <v>45911</v>
      </c>
      <c r="B460" s="1" t="str">
        <f t="shared" si="11"/>
        <v>11/09/25 Jueves</v>
      </c>
      <c r="C460" s="1" t="s">
        <v>12</v>
      </c>
      <c r="D460" s="1">
        <v>946</v>
      </c>
      <c r="E460" s="2">
        <v>782</v>
      </c>
      <c r="F460" s="2">
        <v>561</v>
      </c>
      <c r="G460" s="2">
        <v>223</v>
      </c>
      <c r="H460" s="1">
        <v>492</v>
      </c>
      <c r="I460" s="2">
        <v>69</v>
      </c>
    </row>
    <row r="461" spans="1:9" ht="12.75" x14ac:dyDescent="0.2">
      <c r="A461" s="3">
        <v>45911</v>
      </c>
      <c r="B461" s="1" t="str">
        <f t="shared" si="11"/>
        <v>11/09/25 Jueves</v>
      </c>
      <c r="C461" s="1" t="s">
        <v>13</v>
      </c>
      <c r="D461" s="1">
        <v>454</v>
      </c>
      <c r="E461" s="2">
        <v>687</v>
      </c>
      <c r="F461" s="2">
        <v>510</v>
      </c>
      <c r="G461" s="2">
        <v>177</v>
      </c>
      <c r="H461" s="1">
        <v>491</v>
      </c>
      <c r="I461" s="2">
        <v>19</v>
      </c>
    </row>
    <row r="462" spans="1:9" ht="12.75" x14ac:dyDescent="0.2">
      <c r="A462" s="3">
        <v>45911</v>
      </c>
      <c r="B462" s="1" t="str">
        <f t="shared" si="11"/>
        <v>11/09/25 Jueves</v>
      </c>
      <c r="C462" s="1" t="s">
        <v>14</v>
      </c>
      <c r="D462" s="1">
        <v>285</v>
      </c>
      <c r="E462" s="2">
        <v>1291</v>
      </c>
      <c r="F462" s="2">
        <v>1035</v>
      </c>
      <c r="G462" s="2">
        <v>256</v>
      </c>
      <c r="H462" s="1">
        <v>941</v>
      </c>
      <c r="I462" s="2">
        <v>94</v>
      </c>
    </row>
    <row r="463" spans="1:9" ht="12.75" x14ac:dyDescent="0.2">
      <c r="A463" s="3">
        <v>45911</v>
      </c>
      <c r="B463" s="1" t="str">
        <f t="shared" si="11"/>
        <v>11/09/25 Jueves</v>
      </c>
      <c r="C463" s="1" t="s">
        <v>15</v>
      </c>
      <c r="D463" s="1">
        <v>742</v>
      </c>
      <c r="E463" s="2">
        <v>795</v>
      </c>
      <c r="F463" s="2">
        <v>638</v>
      </c>
      <c r="G463" s="2">
        <v>157</v>
      </c>
      <c r="H463" s="1">
        <v>581</v>
      </c>
      <c r="I463" s="2">
        <v>57</v>
      </c>
    </row>
    <row r="464" spans="1:9" ht="12.75" x14ac:dyDescent="0.2">
      <c r="A464" s="3">
        <v>45912</v>
      </c>
      <c r="B464" s="1" t="str">
        <f t="shared" si="11"/>
        <v>12/09/25 Viernes</v>
      </c>
      <c r="C464" s="1" t="s">
        <v>8</v>
      </c>
      <c r="D464" s="1">
        <v>522</v>
      </c>
      <c r="E464" s="2">
        <v>894</v>
      </c>
      <c r="F464" s="2">
        <v>819</v>
      </c>
      <c r="G464" s="2">
        <v>76</v>
      </c>
      <c r="H464" s="1">
        <v>749</v>
      </c>
      <c r="I464" s="2">
        <v>70</v>
      </c>
    </row>
    <row r="465" spans="1:9" ht="12.75" x14ac:dyDescent="0.2">
      <c r="A465" s="3">
        <v>45912</v>
      </c>
      <c r="B465" s="1" t="str">
        <f t="shared" si="11"/>
        <v>12/09/25 Viernes</v>
      </c>
      <c r="C465" s="1" t="s">
        <v>9</v>
      </c>
      <c r="D465" s="1">
        <v>48</v>
      </c>
      <c r="E465" s="2">
        <v>71</v>
      </c>
      <c r="F465" s="2">
        <v>71</v>
      </c>
      <c r="G465" s="2">
        <v>1</v>
      </c>
      <c r="H465" s="1">
        <v>71</v>
      </c>
      <c r="I465" s="2">
        <v>0</v>
      </c>
    </row>
    <row r="466" spans="1:9" ht="12.75" x14ac:dyDescent="0.2">
      <c r="A466" s="3">
        <v>45912</v>
      </c>
      <c r="B466" s="1" t="str">
        <f t="shared" si="11"/>
        <v>12/09/25 Viernes</v>
      </c>
      <c r="C466" s="1" t="s">
        <v>10</v>
      </c>
      <c r="D466" s="1">
        <v>843</v>
      </c>
      <c r="E466" s="2">
        <v>1209</v>
      </c>
      <c r="F466" s="2">
        <v>938</v>
      </c>
      <c r="G466" s="2">
        <v>271</v>
      </c>
      <c r="H466" s="1">
        <v>932</v>
      </c>
      <c r="I466" s="2">
        <v>6</v>
      </c>
    </row>
    <row r="467" spans="1:9" ht="12.75" x14ac:dyDescent="0.2">
      <c r="A467" s="3">
        <v>45912</v>
      </c>
      <c r="B467" s="1" t="str">
        <f t="shared" si="11"/>
        <v>12/09/25 Viernes</v>
      </c>
      <c r="C467" s="1" t="s">
        <v>11</v>
      </c>
      <c r="D467" s="1">
        <v>795</v>
      </c>
      <c r="E467" s="2">
        <v>670</v>
      </c>
      <c r="F467" s="2">
        <v>584</v>
      </c>
      <c r="G467" s="2">
        <v>86</v>
      </c>
      <c r="H467" s="1">
        <v>582</v>
      </c>
      <c r="I467" s="2">
        <v>2</v>
      </c>
    </row>
    <row r="468" spans="1:9" ht="12.75" x14ac:dyDescent="0.2">
      <c r="A468" s="3">
        <v>45912</v>
      </c>
      <c r="B468" s="1" t="str">
        <f t="shared" si="11"/>
        <v>12/09/25 Viernes</v>
      </c>
      <c r="C468" s="1" t="s">
        <v>12</v>
      </c>
      <c r="D468" s="1">
        <v>445</v>
      </c>
      <c r="E468" s="2">
        <v>1225</v>
      </c>
      <c r="F468" s="2">
        <v>1083</v>
      </c>
      <c r="G468" s="2">
        <v>144</v>
      </c>
      <c r="H468" s="1">
        <v>982</v>
      </c>
      <c r="I468" s="2">
        <v>101</v>
      </c>
    </row>
    <row r="469" spans="1:9" ht="12.75" x14ac:dyDescent="0.2">
      <c r="A469" s="3">
        <v>45912</v>
      </c>
      <c r="B469" s="1" t="str">
        <f t="shared" si="11"/>
        <v>12/09/25 Viernes</v>
      </c>
      <c r="C469" s="1" t="s">
        <v>13</v>
      </c>
      <c r="D469" s="1">
        <v>952</v>
      </c>
      <c r="E469" s="2">
        <v>1086</v>
      </c>
      <c r="F469" s="2">
        <v>948</v>
      </c>
      <c r="G469" s="2">
        <v>138</v>
      </c>
      <c r="H469" s="1">
        <v>928</v>
      </c>
      <c r="I469" s="2">
        <v>20</v>
      </c>
    </row>
    <row r="470" spans="1:9" ht="12.75" x14ac:dyDescent="0.2">
      <c r="A470" s="3">
        <v>45912</v>
      </c>
      <c r="B470" s="1" t="str">
        <f t="shared" si="11"/>
        <v>12/09/25 Viernes</v>
      </c>
      <c r="C470" s="1" t="s">
        <v>14</v>
      </c>
      <c r="D470" s="1">
        <v>1097</v>
      </c>
      <c r="E470" s="2">
        <v>391</v>
      </c>
      <c r="F470" s="2">
        <v>300</v>
      </c>
      <c r="G470" s="2">
        <v>91</v>
      </c>
      <c r="H470" s="1">
        <v>258</v>
      </c>
      <c r="I470" s="2">
        <v>42</v>
      </c>
    </row>
    <row r="471" spans="1:9" ht="12.75" x14ac:dyDescent="0.2">
      <c r="A471" s="3">
        <v>45912</v>
      </c>
      <c r="B471" s="1" t="str">
        <f t="shared" si="11"/>
        <v>12/09/25 Viernes</v>
      </c>
      <c r="C471" s="1" t="s">
        <v>15</v>
      </c>
      <c r="D471" s="1">
        <v>664</v>
      </c>
      <c r="E471" s="2">
        <v>779</v>
      </c>
      <c r="F471" s="2">
        <v>605</v>
      </c>
      <c r="G471" s="2">
        <v>174</v>
      </c>
      <c r="H471" s="1">
        <v>557</v>
      </c>
      <c r="I471" s="2">
        <v>48</v>
      </c>
    </row>
    <row r="472" spans="1:9" ht="12.75" x14ac:dyDescent="0.2">
      <c r="A472" s="3">
        <v>45913</v>
      </c>
      <c r="B472" s="1" t="str">
        <f t="shared" si="11"/>
        <v>13/09/25 Sábado</v>
      </c>
      <c r="C472" s="1" t="s">
        <v>8</v>
      </c>
      <c r="D472" s="1">
        <v>781</v>
      </c>
      <c r="E472" s="2">
        <v>487</v>
      </c>
      <c r="F472" s="2">
        <v>314</v>
      </c>
      <c r="G472" s="2">
        <v>173</v>
      </c>
      <c r="H472" s="1">
        <v>278</v>
      </c>
      <c r="I472" s="2">
        <v>36</v>
      </c>
    </row>
    <row r="473" spans="1:9" ht="12.75" x14ac:dyDescent="0.2">
      <c r="A473" s="3">
        <v>45913</v>
      </c>
      <c r="B473" s="1" t="str">
        <f t="shared" si="11"/>
        <v>13/09/25 Sábado</v>
      </c>
      <c r="C473" s="1" t="s">
        <v>9</v>
      </c>
      <c r="D473" s="1">
        <v>0</v>
      </c>
      <c r="E473" s="2">
        <v>0</v>
      </c>
      <c r="F473" s="2">
        <v>0</v>
      </c>
      <c r="G473" s="2">
        <v>0</v>
      </c>
      <c r="H473" s="1">
        <v>0</v>
      </c>
      <c r="I473" s="2">
        <v>0</v>
      </c>
    </row>
    <row r="474" spans="1:9" ht="12.75" x14ac:dyDescent="0.2">
      <c r="A474" s="3">
        <v>45913</v>
      </c>
      <c r="B474" s="1" t="str">
        <f t="shared" si="11"/>
        <v>13/09/25 Sábado</v>
      </c>
      <c r="C474" s="1" t="s">
        <v>10</v>
      </c>
      <c r="D474" s="1">
        <v>0</v>
      </c>
      <c r="E474" s="2">
        <v>219</v>
      </c>
      <c r="F474" s="2">
        <v>218</v>
      </c>
      <c r="G474" s="2">
        <v>1</v>
      </c>
      <c r="H474" s="1">
        <v>205</v>
      </c>
      <c r="I474" s="2">
        <v>13</v>
      </c>
    </row>
    <row r="475" spans="1:9" ht="12.75" x14ac:dyDescent="0.2">
      <c r="A475" s="3">
        <v>45913</v>
      </c>
      <c r="B475" s="1" t="str">
        <f t="shared" si="11"/>
        <v>13/09/25 Sábado</v>
      </c>
      <c r="C475" s="1" t="s">
        <v>11</v>
      </c>
      <c r="D475" s="1">
        <v>0</v>
      </c>
      <c r="E475" s="2">
        <v>0</v>
      </c>
      <c r="F475" s="2">
        <v>0</v>
      </c>
      <c r="G475" s="2">
        <v>0</v>
      </c>
      <c r="H475" s="1">
        <v>0</v>
      </c>
      <c r="I475" s="2">
        <v>0</v>
      </c>
    </row>
    <row r="476" spans="1:9" ht="12.75" x14ac:dyDescent="0.2">
      <c r="A476" s="3">
        <v>45913</v>
      </c>
      <c r="B476" s="1" t="str">
        <f t="shared" si="11"/>
        <v>13/09/25 Sábado</v>
      </c>
      <c r="C476" s="1" t="s">
        <v>12</v>
      </c>
      <c r="D476" s="1">
        <v>946</v>
      </c>
      <c r="E476" s="2">
        <v>564</v>
      </c>
      <c r="F476" s="2">
        <v>428</v>
      </c>
      <c r="G476" s="2">
        <v>136</v>
      </c>
      <c r="H476" s="1">
        <v>379</v>
      </c>
      <c r="I476" s="2">
        <v>49</v>
      </c>
    </row>
    <row r="477" spans="1:9" ht="12.75" x14ac:dyDescent="0.2">
      <c r="A477" s="3">
        <v>45913</v>
      </c>
      <c r="B477" s="1" t="str">
        <f t="shared" si="11"/>
        <v>13/09/25 Sábado</v>
      </c>
      <c r="C477" s="1" t="s">
        <v>13</v>
      </c>
      <c r="D477" s="1">
        <v>231</v>
      </c>
      <c r="E477" s="2">
        <v>288</v>
      </c>
      <c r="F477" s="2">
        <v>255</v>
      </c>
      <c r="G477" s="2">
        <v>33</v>
      </c>
      <c r="H477" s="1">
        <v>223</v>
      </c>
      <c r="I477" s="2">
        <v>32</v>
      </c>
    </row>
    <row r="478" spans="1:9" ht="12.75" x14ac:dyDescent="0.2">
      <c r="A478" s="3">
        <v>45913</v>
      </c>
      <c r="B478" s="1" t="str">
        <f t="shared" si="11"/>
        <v>13/09/25 Sábado</v>
      </c>
      <c r="C478" s="1" t="s">
        <v>14</v>
      </c>
      <c r="D478" s="1">
        <v>285</v>
      </c>
      <c r="E478" s="2">
        <v>1368</v>
      </c>
      <c r="F478" s="2">
        <v>1121</v>
      </c>
      <c r="G478" s="2">
        <v>247</v>
      </c>
      <c r="H478" s="1">
        <v>971</v>
      </c>
      <c r="I478" s="2">
        <v>150</v>
      </c>
    </row>
    <row r="479" spans="1:9" ht="12.75" x14ac:dyDescent="0.2">
      <c r="A479" s="3">
        <v>45913</v>
      </c>
      <c r="B479" s="1" t="str">
        <f t="shared" si="11"/>
        <v>13/09/25 Sábado</v>
      </c>
      <c r="C479" s="1" t="s">
        <v>15</v>
      </c>
      <c r="D479" s="1">
        <v>742</v>
      </c>
      <c r="E479" s="2">
        <v>856</v>
      </c>
      <c r="F479" s="2">
        <v>523</v>
      </c>
      <c r="G479" s="2">
        <v>333</v>
      </c>
      <c r="H479" s="1">
        <v>480</v>
      </c>
      <c r="I479" s="2">
        <v>43</v>
      </c>
    </row>
    <row r="480" spans="1:9" ht="12.75" x14ac:dyDescent="0.2">
      <c r="A480" s="3">
        <v>45914</v>
      </c>
      <c r="B480" s="1" t="str">
        <f t="shared" si="11"/>
        <v>14/09/25 Domingo</v>
      </c>
      <c r="C480" s="1" t="s">
        <v>8</v>
      </c>
      <c r="D480" s="1">
        <v>223</v>
      </c>
      <c r="E480" s="2">
        <v>450</v>
      </c>
      <c r="F480" s="2">
        <v>357</v>
      </c>
      <c r="G480" s="2">
        <v>93</v>
      </c>
      <c r="H480" s="1">
        <v>308</v>
      </c>
      <c r="I480" s="2">
        <v>49</v>
      </c>
    </row>
    <row r="481" spans="1:9" ht="12.75" x14ac:dyDescent="0.2">
      <c r="A481" s="3">
        <v>45914</v>
      </c>
      <c r="B481" s="1" t="str">
        <f t="shared" si="11"/>
        <v>14/09/25 Domingo</v>
      </c>
      <c r="C481" s="1" t="s">
        <v>9</v>
      </c>
      <c r="D481" s="1">
        <v>301</v>
      </c>
      <c r="E481" s="2">
        <v>188</v>
      </c>
      <c r="F481" s="2">
        <v>189</v>
      </c>
      <c r="G481" s="2">
        <v>65</v>
      </c>
      <c r="H481" s="1">
        <v>188</v>
      </c>
      <c r="I481" s="2">
        <v>1</v>
      </c>
    </row>
    <row r="482" spans="1:9" ht="12.75" x14ac:dyDescent="0.2">
      <c r="A482" s="3">
        <v>45914</v>
      </c>
      <c r="B482" s="1" t="str">
        <f t="shared" si="11"/>
        <v>14/09/25 Domingo</v>
      </c>
      <c r="C482" s="1" t="s">
        <v>10</v>
      </c>
      <c r="D482" s="1">
        <v>801</v>
      </c>
      <c r="E482" s="2">
        <v>975</v>
      </c>
      <c r="F482" s="2">
        <v>865</v>
      </c>
      <c r="G482" s="2">
        <v>110</v>
      </c>
      <c r="H482" s="1">
        <v>846</v>
      </c>
      <c r="I482" s="2">
        <v>19</v>
      </c>
    </row>
    <row r="483" spans="1:9" ht="12.75" x14ac:dyDescent="0.2">
      <c r="A483" s="3">
        <v>45914</v>
      </c>
      <c r="B483" s="1" t="str">
        <f t="shared" si="11"/>
        <v>14/09/25 Domingo</v>
      </c>
      <c r="C483" s="1" t="s">
        <v>11</v>
      </c>
      <c r="D483" s="1">
        <v>1744</v>
      </c>
      <c r="E483" s="2">
        <v>1161</v>
      </c>
      <c r="F483" s="2">
        <v>1152</v>
      </c>
      <c r="G483" s="2">
        <v>11</v>
      </c>
      <c r="H483" s="1">
        <v>1137</v>
      </c>
      <c r="I483" s="2">
        <v>15</v>
      </c>
    </row>
    <row r="484" spans="1:9" ht="12.75" x14ac:dyDescent="0.2">
      <c r="A484" s="3">
        <v>45914</v>
      </c>
      <c r="B484" s="1" t="str">
        <f t="shared" si="11"/>
        <v>14/09/25 Domingo</v>
      </c>
      <c r="C484" s="1" t="s">
        <v>12</v>
      </c>
      <c r="D484" s="1">
        <v>445</v>
      </c>
      <c r="E484" s="2">
        <v>102</v>
      </c>
      <c r="F484" s="2">
        <v>102</v>
      </c>
      <c r="G484" s="2">
        <v>0</v>
      </c>
      <c r="H484" s="1">
        <v>78</v>
      </c>
      <c r="I484" s="2">
        <v>24</v>
      </c>
    </row>
    <row r="485" spans="1:9" ht="12.75" x14ac:dyDescent="0.2">
      <c r="A485" s="3">
        <v>45914</v>
      </c>
      <c r="B485" s="1" t="str">
        <f t="shared" si="11"/>
        <v>14/09/25 Domingo</v>
      </c>
      <c r="C485" s="1" t="s">
        <v>13</v>
      </c>
      <c r="D485" s="1">
        <v>445</v>
      </c>
      <c r="E485" s="2">
        <v>525</v>
      </c>
      <c r="F485" s="2">
        <v>425</v>
      </c>
      <c r="G485" s="2">
        <v>100</v>
      </c>
      <c r="H485" s="1">
        <v>316</v>
      </c>
      <c r="I485" s="2">
        <v>109</v>
      </c>
    </row>
    <row r="486" spans="1:9" ht="12.75" x14ac:dyDescent="0.2">
      <c r="A486" s="3">
        <v>45914</v>
      </c>
      <c r="B486" s="1" t="str">
        <f t="shared" si="11"/>
        <v>14/09/25 Domingo</v>
      </c>
      <c r="C486" s="1" t="s">
        <v>14</v>
      </c>
      <c r="D486" s="1">
        <v>0</v>
      </c>
      <c r="E486" s="2">
        <v>366</v>
      </c>
      <c r="F486" s="2">
        <v>176</v>
      </c>
      <c r="G486" s="2">
        <v>190</v>
      </c>
      <c r="H486" s="1">
        <v>164</v>
      </c>
      <c r="I486" s="2">
        <v>12</v>
      </c>
    </row>
    <row r="487" spans="1:9" ht="12.75" x14ac:dyDescent="0.2">
      <c r="A487" s="3">
        <v>45914</v>
      </c>
      <c r="B487" s="1" t="str">
        <f t="shared" si="11"/>
        <v>14/09/25 Domingo</v>
      </c>
      <c r="C487" s="1" t="s">
        <v>15</v>
      </c>
      <c r="D487" s="1">
        <v>0</v>
      </c>
      <c r="E487" s="2">
        <v>486</v>
      </c>
      <c r="F487" s="2">
        <v>229</v>
      </c>
      <c r="G487" s="2">
        <v>257</v>
      </c>
      <c r="H487" s="1">
        <v>207</v>
      </c>
      <c r="I487" s="2">
        <v>22</v>
      </c>
    </row>
    <row r="488" spans="1:9" ht="12.75" x14ac:dyDescent="0.2">
      <c r="A488" s="3">
        <v>45915</v>
      </c>
      <c r="B488" s="1" t="str">
        <f t="shared" si="11"/>
        <v>15/09/25 Lunes</v>
      </c>
      <c r="C488" s="1" t="s">
        <v>8</v>
      </c>
      <c r="D488" s="1">
        <v>524</v>
      </c>
      <c r="E488" s="2">
        <v>1114</v>
      </c>
      <c r="F488" s="2">
        <v>739</v>
      </c>
      <c r="G488" s="2">
        <v>375</v>
      </c>
      <c r="H488" s="1">
        <v>681</v>
      </c>
      <c r="I488" s="2">
        <v>58</v>
      </c>
    </row>
    <row r="489" spans="1:9" ht="12.75" x14ac:dyDescent="0.2">
      <c r="A489" s="3">
        <v>45915</v>
      </c>
      <c r="B489" s="1" t="str">
        <f t="shared" si="11"/>
        <v>15/09/25 Lunes</v>
      </c>
      <c r="C489" s="1" t="s">
        <v>9</v>
      </c>
      <c r="D489" s="1">
        <v>48</v>
      </c>
      <c r="E489" s="2">
        <v>192</v>
      </c>
      <c r="F489" s="2">
        <v>193</v>
      </c>
      <c r="G489" s="2">
        <v>31</v>
      </c>
      <c r="H489" s="1">
        <v>192</v>
      </c>
      <c r="I489" s="2">
        <v>1</v>
      </c>
    </row>
    <row r="490" spans="1:9" ht="12.75" x14ac:dyDescent="0.2">
      <c r="A490" s="3">
        <v>45915</v>
      </c>
      <c r="B490" s="1" t="str">
        <f t="shared" si="11"/>
        <v>15/09/25 Lunes</v>
      </c>
      <c r="C490" s="1" t="s">
        <v>10</v>
      </c>
      <c r="D490" s="1">
        <v>843</v>
      </c>
      <c r="E490" s="2">
        <v>1038</v>
      </c>
      <c r="F490" s="2">
        <v>905</v>
      </c>
      <c r="G490" s="2">
        <v>133</v>
      </c>
      <c r="H490" s="1">
        <v>863</v>
      </c>
      <c r="I490" s="2">
        <v>42</v>
      </c>
    </row>
    <row r="491" spans="1:9" ht="12.75" x14ac:dyDescent="0.2">
      <c r="A491" s="3">
        <v>45915</v>
      </c>
      <c r="B491" s="1" t="str">
        <f t="shared" si="11"/>
        <v>15/09/25 Lunes</v>
      </c>
      <c r="C491" s="1" t="s">
        <v>11</v>
      </c>
      <c r="D491" s="1">
        <v>949</v>
      </c>
      <c r="E491" s="2">
        <v>659</v>
      </c>
      <c r="F491" s="2">
        <v>659</v>
      </c>
      <c r="G491" s="2">
        <v>0</v>
      </c>
      <c r="H491" s="1">
        <v>653</v>
      </c>
      <c r="I491" s="2">
        <v>6</v>
      </c>
    </row>
    <row r="492" spans="1:9" ht="12.75" x14ac:dyDescent="0.2">
      <c r="A492" s="3">
        <v>45915</v>
      </c>
      <c r="B492" s="1" t="str">
        <f t="shared" si="11"/>
        <v>15/09/25 Lunes</v>
      </c>
      <c r="C492" s="1" t="s">
        <v>12</v>
      </c>
      <c r="D492" s="1">
        <v>360</v>
      </c>
      <c r="E492" s="2">
        <v>1274</v>
      </c>
      <c r="F492" s="2">
        <v>795</v>
      </c>
      <c r="G492" s="2">
        <v>481</v>
      </c>
      <c r="H492" s="1">
        <v>729</v>
      </c>
      <c r="I492" s="2">
        <v>66</v>
      </c>
    </row>
    <row r="493" spans="1:9" ht="12.75" x14ac:dyDescent="0.2">
      <c r="A493" s="3">
        <v>45915</v>
      </c>
      <c r="B493" s="1" t="str">
        <f t="shared" si="11"/>
        <v>15/09/25 Lunes</v>
      </c>
      <c r="C493" s="1" t="s">
        <v>13</v>
      </c>
      <c r="D493" s="1">
        <v>952</v>
      </c>
      <c r="E493" s="2">
        <v>1041</v>
      </c>
      <c r="F493" s="2">
        <v>905</v>
      </c>
      <c r="G493" s="2">
        <v>151</v>
      </c>
      <c r="H493" s="1">
        <v>892</v>
      </c>
      <c r="I493" s="2">
        <v>13</v>
      </c>
    </row>
    <row r="494" spans="1:9" ht="12.75" x14ac:dyDescent="0.2">
      <c r="A494" s="3">
        <v>45915</v>
      </c>
      <c r="B494" s="1" t="str">
        <f t="shared" si="11"/>
        <v>15/09/25 Lunes</v>
      </c>
      <c r="C494" s="1" t="s">
        <v>14</v>
      </c>
      <c r="D494" s="1">
        <v>1097</v>
      </c>
      <c r="E494" s="2">
        <v>324</v>
      </c>
      <c r="F494" s="2">
        <v>244</v>
      </c>
      <c r="G494" s="2">
        <v>80</v>
      </c>
      <c r="H494" s="1">
        <v>215</v>
      </c>
      <c r="I494" s="2">
        <v>29</v>
      </c>
    </row>
    <row r="495" spans="1:9" ht="12.75" x14ac:dyDescent="0.2">
      <c r="A495" s="3">
        <v>45915</v>
      </c>
      <c r="B495" s="1" t="str">
        <f t="shared" si="11"/>
        <v>15/09/25 Lunes</v>
      </c>
      <c r="C495" s="1" t="s">
        <v>15</v>
      </c>
      <c r="D495" s="1">
        <v>664</v>
      </c>
      <c r="E495" s="2">
        <v>721</v>
      </c>
      <c r="F495" s="2">
        <v>418</v>
      </c>
      <c r="G495" s="2">
        <v>303</v>
      </c>
      <c r="H495" s="1">
        <v>380</v>
      </c>
      <c r="I495" s="2">
        <v>38</v>
      </c>
    </row>
    <row r="496" spans="1:9" ht="12.75" x14ac:dyDescent="0.2">
      <c r="A496" s="3">
        <v>45916</v>
      </c>
      <c r="B496" s="1" t="str">
        <f t="shared" si="11"/>
        <v>16/09/25 Martes</v>
      </c>
      <c r="C496" s="1" t="s">
        <v>8</v>
      </c>
      <c r="D496" s="1">
        <v>863</v>
      </c>
      <c r="E496" s="2">
        <v>649</v>
      </c>
      <c r="F496" s="2">
        <v>408</v>
      </c>
      <c r="G496" s="2">
        <v>241</v>
      </c>
      <c r="H496" s="1">
        <v>365</v>
      </c>
      <c r="I496" s="2">
        <v>43</v>
      </c>
    </row>
    <row r="497" spans="1:9" ht="12.75" x14ac:dyDescent="0.2">
      <c r="A497" s="3">
        <v>45916</v>
      </c>
      <c r="B497" s="1" t="str">
        <f t="shared" si="11"/>
        <v>16/09/25 Martes</v>
      </c>
      <c r="C497" s="1" t="s">
        <v>9</v>
      </c>
      <c r="D497" s="1">
        <v>253</v>
      </c>
      <c r="E497" s="2">
        <v>231</v>
      </c>
      <c r="F497" s="2">
        <v>234</v>
      </c>
      <c r="G497" s="2">
        <v>19</v>
      </c>
      <c r="H497" s="1">
        <v>231</v>
      </c>
      <c r="I497" s="2">
        <v>3</v>
      </c>
    </row>
    <row r="498" spans="1:9" ht="12.75" x14ac:dyDescent="0.2">
      <c r="A498" s="3">
        <v>45916</v>
      </c>
      <c r="B498" s="1" t="str">
        <f t="shared" si="11"/>
        <v>16/09/25 Martes</v>
      </c>
      <c r="C498" s="1" t="s">
        <v>10</v>
      </c>
      <c r="D498" s="1">
        <v>801</v>
      </c>
      <c r="E498" s="2">
        <v>987</v>
      </c>
      <c r="F498" s="2">
        <v>987</v>
      </c>
      <c r="G498" s="2">
        <v>0</v>
      </c>
      <c r="H498" s="1">
        <v>973</v>
      </c>
      <c r="I498" s="2">
        <v>14</v>
      </c>
    </row>
    <row r="499" spans="1:9" ht="12.75" x14ac:dyDescent="0.2">
      <c r="A499" s="3">
        <v>45916</v>
      </c>
      <c r="B499" s="1" t="str">
        <f t="shared" si="11"/>
        <v>16/09/25 Martes</v>
      </c>
      <c r="C499" s="1" t="s">
        <v>11</v>
      </c>
      <c r="D499" s="1">
        <v>795</v>
      </c>
      <c r="E499" s="2">
        <v>1167</v>
      </c>
      <c r="F499" s="2">
        <v>1002</v>
      </c>
      <c r="G499" s="2">
        <v>165</v>
      </c>
      <c r="H499" s="1">
        <v>996</v>
      </c>
      <c r="I499" s="2">
        <v>6</v>
      </c>
    </row>
    <row r="500" spans="1:9" ht="12.75" x14ac:dyDescent="0.2">
      <c r="A500" s="3">
        <v>45916</v>
      </c>
      <c r="B500" s="1" t="str">
        <f t="shared" si="11"/>
        <v>16/09/25 Martes</v>
      </c>
      <c r="C500" s="1" t="s">
        <v>12</v>
      </c>
      <c r="D500" s="1">
        <v>1031</v>
      </c>
      <c r="E500" s="2">
        <v>653</v>
      </c>
      <c r="F500" s="2">
        <v>553</v>
      </c>
      <c r="G500" s="2">
        <v>100</v>
      </c>
      <c r="H500" s="1">
        <v>480</v>
      </c>
      <c r="I500" s="2">
        <v>73</v>
      </c>
    </row>
    <row r="501" spans="1:9" ht="12.75" x14ac:dyDescent="0.2">
      <c r="A501" s="3">
        <v>45916</v>
      </c>
      <c r="B501" s="1" t="str">
        <f t="shared" si="11"/>
        <v>16/09/25 Martes</v>
      </c>
      <c r="C501" s="1" t="s">
        <v>13</v>
      </c>
      <c r="D501" s="1">
        <v>416</v>
      </c>
      <c r="E501" s="2">
        <v>703</v>
      </c>
      <c r="F501" s="2">
        <v>623</v>
      </c>
      <c r="G501" s="2">
        <v>100</v>
      </c>
      <c r="H501" s="1">
        <v>537</v>
      </c>
      <c r="I501" s="2">
        <v>86</v>
      </c>
    </row>
    <row r="502" spans="1:9" ht="12.75" x14ac:dyDescent="0.2">
      <c r="A502" s="3">
        <v>45916</v>
      </c>
      <c r="B502" s="1" t="str">
        <f t="shared" si="11"/>
        <v>16/09/25 Martes</v>
      </c>
      <c r="C502" s="1" t="s">
        <v>14</v>
      </c>
      <c r="D502" s="1">
        <v>285</v>
      </c>
      <c r="E502" s="2">
        <v>1065</v>
      </c>
      <c r="F502" s="2">
        <v>732</v>
      </c>
      <c r="G502" s="2">
        <v>333</v>
      </c>
      <c r="H502" s="1">
        <v>672</v>
      </c>
      <c r="I502" s="2">
        <v>60</v>
      </c>
    </row>
    <row r="503" spans="1:9" ht="12.75" x14ac:dyDescent="0.2">
      <c r="A503" s="3">
        <v>45916</v>
      </c>
      <c r="B503" s="1" t="str">
        <f t="shared" si="11"/>
        <v>16/09/25 Martes</v>
      </c>
      <c r="C503" s="1" t="s">
        <v>15</v>
      </c>
      <c r="D503" s="1">
        <v>742</v>
      </c>
      <c r="E503" s="2">
        <v>737</v>
      </c>
      <c r="F503" s="2">
        <v>505</v>
      </c>
      <c r="G503" s="2">
        <v>232</v>
      </c>
      <c r="H503" s="1">
        <v>479</v>
      </c>
      <c r="I503" s="2">
        <v>26</v>
      </c>
    </row>
    <row r="504" spans="1:9" ht="12.75" x14ac:dyDescent="0.2">
      <c r="A504" s="3">
        <v>45917</v>
      </c>
      <c r="B504" s="1" t="str">
        <f t="shared" si="11"/>
        <v>17/09/25 Miércoles</v>
      </c>
      <c r="C504" s="1" t="s">
        <v>8</v>
      </c>
      <c r="D504" s="1">
        <v>524</v>
      </c>
      <c r="E504" s="2">
        <v>1178</v>
      </c>
      <c r="F504" s="2">
        <v>936</v>
      </c>
      <c r="G504" s="2">
        <v>242</v>
      </c>
      <c r="H504" s="1">
        <v>859</v>
      </c>
      <c r="I504" s="2">
        <v>77</v>
      </c>
    </row>
    <row r="505" spans="1:9" ht="12.75" x14ac:dyDescent="0.2">
      <c r="A505" s="3">
        <v>45917</v>
      </c>
      <c r="B505" s="1" t="str">
        <f t="shared" si="11"/>
        <v>17/09/25 Miércoles</v>
      </c>
      <c r="C505" s="1" t="s">
        <v>9</v>
      </c>
      <c r="D505" s="1">
        <v>48</v>
      </c>
      <c r="E505" s="2">
        <v>71</v>
      </c>
      <c r="F505" s="2">
        <v>71</v>
      </c>
      <c r="G505" s="2">
        <v>0</v>
      </c>
      <c r="H505" s="1">
        <v>71</v>
      </c>
      <c r="I505" s="2">
        <v>0</v>
      </c>
    </row>
    <row r="506" spans="1:9" ht="12.75" x14ac:dyDescent="0.2">
      <c r="A506" s="3">
        <v>45917</v>
      </c>
      <c r="B506" s="1" t="str">
        <f t="shared" si="11"/>
        <v>17/09/25 Miércoles</v>
      </c>
      <c r="C506" s="1" t="s">
        <v>10</v>
      </c>
      <c r="D506" s="1">
        <v>843</v>
      </c>
      <c r="E506" s="2">
        <v>698</v>
      </c>
      <c r="F506" s="2">
        <v>687</v>
      </c>
      <c r="G506" s="2">
        <v>11</v>
      </c>
      <c r="H506" s="1">
        <v>672</v>
      </c>
      <c r="I506" s="2">
        <v>15</v>
      </c>
    </row>
    <row r="507" spans="1:9" ht="12.75" x14ac:dyDescent="0.2">
      <c r="A507" s="3">
        <v>45917</v>
      </c>
      <c r="B507" s="1" t="str">
        <f t="shared" si="11"/>
        <v>17/09/25 Miércoles</v>
      </c>
      <c r="C507" s="1" t="s">
        <v>11</v>
      </c>
      <c r="D507" s="1">
        <v>949</v>
      </c>
      <c r="E507" s="2">
        <v>821</v>
      </c>
      <c r="F507" s="2">
        <v>821</v>
      </c>
      <c r="G507" s="2">
        <v>0</v>
      </c>
      <c r="H507" s="1">
        <v>814</v>
      </c>
      <c r="I507" s="2">
        <v>7</v>
      </c>
    </row>
    <row r="508" spans="1:9" ht="12.75" x14ac:dyDescent="0.2">
      <c r="A508" s="3">
        <v>45917</v>
      </c>
      <c r="B508" s="1" t="str">
        <f t="shared" si="11"/>
        <v>17/09/25 Miércoles</v>
      </c>
      <c r="C508" s="1" t="s">
        <v>12</v>
      </c>
      <c r="D508" s="1">
        <v>360</v>
      </c>
      <c r="E508" s="2">
        <v>1076</v>
      </c>
      <c r="F508" s="2">
        <v>793</v>
      </c>
      <c r="G508" s="2">
        <v>283</v>
      </c>
      <c r="H508" s="1">
        <v>742</v>
      </c>
      <c r="I508" s="2">
        <v>51</v>
      </c>
    </row>
    <row r="509" spans="1:9" ht="12.75" x14ac:dyDescent="0.2">
      <c r="A509" s="3">
        <v>45917</v>
      </c>
      <c r="B509" s="1" t="str">
        <f t="shared" si="11"/>
        <v>17/09/25 Miércoles</v>
      </c>
      <c r="C509" s="1" t="s">
        <v>13</v>
      </c>
      <c r="D509" s="1">
        <v>984</v>
      </c>
      <c r="E509" s="2">
        <v>1085</v>
      </c>
      <c r="F509" s="2">
        <v>858</v>
      </c>
      <c r="G509" s="2">
        <v>227</v>
      </c>
      <c r="H509" s="1">
        <v>839</v>
      </c>
      <c r="I509" s="2">
        <v>19</v>
      </c>
    </row>
    <row r="510" spans="1:9" ht="12.75" x14ac:dyDescent="0.2">
      <c r="A510" s="3">
        <v>45917</v>
      </c>
      <c r="B510" s="1" t="str">
        <f t="shared" si="11"/>
        <v>17/09/25 Miércoles</v>
      </c>
      <c r="C510" s="1" t="s">
        <v>14</v>
      </c>
      <c r="D510" s="1">
        <v>1097</v>
      </c>
      <c r="E510" s="2">
        <v>713</v>
      </c>
      <c r="F510" s="2">
        <v>554</v>
      </c>
      <c r="G510" s="2">
        <v>159</v>
      </c>
      <c r="H510" s="1">
        <v>472</v>
      </c>
      <c r="I510" s="2">
        <v>82</v>
      </c>
    </row>
    <row r="511" spans="1:9" ht="12.75" x14ac:dyDescent="0.2">
      <c r="A511" s="3">
        <v>45917</v>
      </c>
      <c r="B511" s="1" t="str">
        <f t="shared" si="11"/>
        <v>17/09/25 Miércoles</v>
      </c>
      <c r="C511" s="1" t="s">
        <v>15</v>
      </c>
      <c r="D511" s="1">
        <v>664</v>
      </c>
      <c r="E511" s="2">
        <v>1043</v>
      </c>
      <c r="F511" s="2">
        <v>672</v>
      </c>
      <c r="G511" s="2">
        <v>371</v>
      </c>
      <c r="H511" s="1">
        <v>622</v>
      </c>
      <c r="I511" s="2">
        <v>50</v>
      </c>
    </row>
    <row r="512" spans="1:9" ht="12.75" x14ac:dyDescent="0.2">
      <c r="A512" s="3">
        <v>45918</v>
      </c>
      <c r="B512" s="1" t="str">
        <f t="shared" si="11"/>
        <v>18/09/25 Jueves</v>
      </c>
      <c r="C512" s="1" t="s">
        <v>8</v>
      </c>
      <c r="D512" s="1">
        <v>863</v>
      </c>
      <c r="E512" s="2">
        <v>743</v>
      </c>
      <c r="F512" s="2">
        <v>510</v>
      </c>
      <c r="G512" s="2">
        <v>233</v>
      </c>
      <c r="H512" s="1">
        <v>450</v>
      </c>
      <c r="I512" s="2">
        <v>60</v>
      </c>
    </row>
    <row r="513" spans="1:9" ht="12.75" x14ac:dyDescent="0.2">
      <c r="A513" s="3">
        <v>45918</v>
      </c>
      <c r="B513" s="1" t="str">
        <f t="shared" si="11"/>
        <v>18/09/25 Jueves</v>
      </c>
      <c r="C513" s="1" t="s">
        <v>9</v>
      </c>
      <c r="D513" s="1">
        <v>253</v>
      </c>
      <c r="E513" s="2">
        <v>252</v>
      </c>
      <c r="F513" s="2">
        <v>253</v>
      </c>
      <c r="G513" s="2">
        <v>0</v>
      </c>
      <c r="H513" s="1">
        <v>252</v>
      </c>
      <c r="I513" s="2">
        <v>1</v>
      </c>
    </row>
    <row r="514" spans="1:9" ht="12.75" x14ac:dyDescent="0.2">
      <c r="A514" s="3">
        <v>45918</v>
      </c>
      <c r="B514" s="1" t="str">
        <f t="shared" si="11"/>
        <v>18/09/25 Jueves</v>
      </c>
      <c r="C514" s="1" t="s">
        <v>10</v>
      </c>
      <c r="D514" s="1">
        <v>801</v>
      </c>
      <c r="E514" s="2">
        <v>875</v>
      </c>
      <c r="F514" s="2">
        <v>845</v>
      </c>
      <c r="G514" s="2">
        <v>30</v>
      </c>
      <c r="H514" s="1">
        <v>837</v>
      </c>
      <c r="I514" s="2">
        <v>8</v>
      </c>
    </row>
    <row r="515" spans="1:9" ht="12.75" x14ac:dyDescent="0.2">
      <c r="A515" s="3">
        <v>45918</v>
      </c>
      <c r="B515" s="1" t="str">
        <f t="shared" ref="B515:B578" si="12">PROPER(TEXT(A515,"[$-es-ES]dd/mm/yy dddd"))</f>
        <v>18/09/25 Jueves</v>
      </c>
      <c r="C515" s="1" t="s">
        <v>11</v>
      </c>
      <c r="D515" s="1">
        <v>785</v>
      </c>
      <c r="E515" s="2">
        <v>1074</v>
      </c>
      <c r="F515" s="2">
        <v>1074</v>
      </c>
      <c r="G515" s="2">
        <v>0</v>
      </c>
      <c r="H515" s="1">
        <v>1060</v>
      </c>
      <c r="I515" s="2">
        <v>14</v>
      </c>
    </row>
    <row r="516" spans="1:9" ht="12.75" x14ac:dyDescent="0.2">
      <c r="A516" s="3">
        <v>45918</v>
      </c>
      <c r="B516" s="1" t="str">
        <f t="shared" si="12"/>
        <v>18/09/25 Jueves</v>
      </c>
      <c r="C516" s="1" t="s">
        <v>12</v>
      </c>
      <c r="D516" s="1">
        <v>1031</v>
      </c>
      <c r="E516" s="2">
        <v>630</v>
      </c>
      <c r="F516" s="2">
        <v>516</v>
      </c>
      <c r="G516" s="2">
        <v>114</v>
      </c>
      <c r="H516" s="1">
        <v>469</v>
      </c>
      <c r="I516" s="2">
        <v>47</v>
      </c>
    </row>
    <row r="517" spans="1:9" ht="12.75" x14ac:dyDescent="0.2">
      <c r="A517" s="3">
        <v>45918</v>
      </c>
      <c r="B517" s="1" t="str">
        <f t="shared" si="12"/>
        <v>18/09/25 Jueves</v>
      </c>
      <c r="C517" s="1" t="s">
        <v>13</v>
      </c>
      <c r="D517" s="1">
        <v>422</v>
      </c>
      <c r="E517" s="2">
        <v>495</v>
      </c>
      <c r="F517" s="2">
        <v>423</v>
      </c>
      <c r="G517" s="2">
        <v>72</v>
      </c>
      <c r="H517" s="1">
        <v>404</v>
      </c>
      <c r="I517" s="2">
        <v>19</v>
      </c>
    </row>
    <row r="518" spans="1:9" ht="12.75" x14ac:dyDescent="0.2">
      <c r="A518" s="3">
        <v>45918</v>
      </c>
      <c r="B518" s="1" t="str">
        <f t="shared" si="12"/>
        <v>18/09/25 Jueves</v>
      </c>
      <c r="C518" s="1" t="s">
        <v>14</v>
      </c>
      <c r="D518" s="1">
        <v>285</v>
      </c>
      <c r="E518" s="2">
        <v>1284</v>
      </c>
      <c r="F518" s="2">
        <v>832</v>
      </c>
      <c r="G518" s="2">
        <v>452</v>
      </c>
      <c r="H518" s="1">
        <v>754</v>
      </c>
      <c r="I518" s="2">
        <v>78</v>
      </c>
    </row>
    <row r="519" spans="1:9" ht="12.75" x14ac:dyDescent="0.2">
      <c r="A519" s="3">
        <v>45918</v>
      </c>
      <c r="B519" s="1" t="str">
        <f t="shared" si="12"/>
        <v>18/09/25 Jueves</v>
      </c>
      <c r="C519" s="1" t="s">
        <v>15</v>
      </c>
      <c r="D519" s="1">
        <v>742</v>
      </c>
      <c r="E519" s="2">
        <v>936</v>
      </c>
      <c r="F519" s="2">
        <v>627</v>
      </c>
      <c r="G519" s="2">
        <v>309</v>
      </c>
      <c r="H519" s="1">
        <v>562</v>
      </c>
      <c r="I519" s="2">
        <v>65</v>
      </c>
    </row>
    <row r="520" spans="1:9" ht="12.75" x14ac:dyDescent="0.2">
      <c r="A520" s="3">
        <v>45919</v>
      </c>
      <c r="B520" s="1" t="str">
        <f t="shared" si="12"/>
        <v>19/09/25 Viernes</v>
      </c>
      <c r="C520" s="1" t="s">
        <v>8</v>
      </c>
      <c r="D520" s="1">
        <v>524</v>
      </c>
      <c r="E520" s="2">
        <v>1001</v>
      </c>
      <c r="F520" s="2">
        <v>842</v>
      </c>
      <c r="G520" s="2">
        <v>159</v>
      </c>
      <c r="H520" s="1">
        <v>779</v>
      </c>
      <c r="I520" s="2">
        <v>63</v>
      </c>
    </row>
    <row r="521" spans="1:9" ht="12.75" x14ac:dyDescent="0.2">
      <c r="A521" s="3">
        <v>45919</v>
      </c>
      <c r="B521" s="1" t="str">
        <f t="shared" si="12"/>
        <v>19/09/25 Viernes</v>
      </c>
      <c r="C521" s="1" t="s">
        <v>9</v>
      </c>
      <c r="D521" s="1">
        <v>48</v>
      </c>
      <c r="E521" s="2">
        <v>48</v>
      </c>
      <c r="F521" s="2">
        <v>48</v>
      </c>
      <c r="G521" s="2">
        <v>0</v>
      </c>
      <c r="H521" s="1">
        <v>48</v>
      </c>
      <c r="I521" s="2">
        <v>0</v>
      </c>
    </row>
    <row r="522" spans="1:9" ht="12.75" x14ac:dyDescent="0.2">
      <c r="A522" s="3">
        <v>45919</v>
      </c>
      <c r="B522" s="1" t="str">
        <f t="shared" si="12"/>
        <v>19/09/25 Viernes</v>
      </c>
      <c r="C522" s="1" t="s">
        <v>10</v>
      </c>
      <c r="D522" s="1">
        <v>843</v>
      </c>
      <c r="E522" s="2">
        <v>836</v>
      </c>
      <c r="F522" s="2">
        <v>789</v>
      </c>
      <c r="G522" s="2">
        <v>47</v>
      </c>
      <c r="H522" s="1">
        <v>763</v>
      </c>
      <c r="I522" s="2">
        <v>26</v>
      </c>
    </row>
    <row r="523" spans="1:9" ht="12.75" x14ac:dyDescent="0.2">
      <c r="A523" s="3">
        <v>45919</v>
      </c>
      <c r="B523" s="1" t="str">
        <f t="shared" si="12"/>
        <v>19/09/25 Viernes</v>
      </c>
      <c r="C523" s="1" t="s">
        <v>11</v>
      </c>
      <c r="D523" s="1">
        <v>949</v>
      </c>
      <c r="E523" s="2">
        <v>745</v>
      </c>
      <c r="F523" s="2">
        <v>745</v>
      </c>
      <c r="G523" s="2">
        <v>0</v>
      </c>
      <c r="H523" s="1">
        <v>735</v>
      </c>
      <c r="I523" s="2">
        <v>10</v>
      </c>
    </row>
    <row r="524" spans="1:9" ht="12.75" x14ac:dyDescent="0.2">
      <c r="A524" s="3">
        <v>45919</v>
      </c>
      <c r="B524" s="1" t="str">
        <f t="shared" si="12"/>
        <v>19/09/25 Viernes</v>
      </c>
      <c r="C524" s="1" t="s">
        <v>12</v>
      </c>
      <c r="D524" s="1">
        <v>360</v>
      </c>
      <c r="E524" s="2">
        <v>723</v>
      </c>
      <c r="F524" s="2">
        <v>659</v>
      </c>
      <c r="G524" s="2">
        <v>64</v>
      </c>
      <c r="H524" s="1">
        <v>603</v>
      </c>
      <c r="I524" s="2">
        <v>56</v>
      </c>
    </row>
    <row r="525" spans="1:9" ht="12.75" x14ac:dyDescent="0.2">
      <c r="A525" s="3">
        <v>45919</v>
      </c>
      <c r="B525" s="1" t="str">
        <f t="shared" si="12"/>
        <v>19/09/25 Viernes</v>
      </c>
      <c r="C525" s="1" t="s">
        <v>13</v>
      </c>
      <c r="D525" s="1">
        <v>946</v>
      </c>
      <c r="E525" s="2">
        <v>1275</v>
      </c>
      <c r="F525" s="2">
        <v>1130</v>
      </c>
      <c r="G525" s="2">
        <v>146</v>
      </c>
      <c r="H525" s="1">
        <v>1081</v>
      </c>
      <c r="I525" s="2">
        <v>49</v>
      </c>
    </row>
    <row r="526" spans="1:9" ht="12.75" x14ac:dyDescent="0.2">
      <c r="A526" s="3">
        <v>45919</v>
      </c>
      <c r="B526" s="1" t="str">
        <f t="shared" si="12"/>
        <v>19/09/25 Viernes</v>
      </c>
      <c r="C526" s="1" t="s">
        <v>14</v>
      </c>
      <c r="D526" s="1">
        <v>1097</v>
      </c>
      <c r="E526" s="2">
        <v>788</v>
      </c>
      <c r="F526" s="2">
        <v>682</v>
      </c>
      <c r="G526" s="2">
        <v>106</v>
      </c>
      <c r="H526" s="1">
        <v>603</v>
      </c>
      <c r="I526" s="2">
        <v>79</v>
      </c>
    </row>
    <row r="527" spans="1:9" ht="12.75" x14ac:dyDescent="0.2">
      <c r="A527" s="3">
        <v>45919</v>
      </c>
      <c r="B527" s="1" t="str">
        <f t="shared" si="12"/>
        <v>19/09/25 Viernes</v>
      </c>
      <c r="C527" s="1" t="s">
        <v>15</v>
      </c>
      <c r="D527" s="1">
        <v>664</v>
      </c>
      <c r="E527" s="2">
        <v>732</v>
      </c>
      <c r="F527" s="2">
        <v>517</v>
      </c>
      <c r="G527" s="2">
        <v>215</v>
      </c>
      <c r="H527" s="1">
        <v>456</v>
      </c>
      <c r="I527" s="2">
        <v>61</v>
      </c>
    </row>
    <row r="528" spans="1:9" ht="12.75" x14ac:dyDescent="0.2">
      <c r="A528" s="3">
        <v>45920</v>
      </c>
      <c r="B528" s="1" t="str">
        <f t="shared" si="12"/>
        <v>20/09/25 Sábado</v>
      </c>
      <c r="C528" s="1" t="s">
        <v>8</v>
      </c>
      <c r="D528" s="1">
        <v>779</v>
      </c>
      <c r="E528" s="2">
        <v>717</v>
      </c>
      <c r="F528" s="2">
        <v>623</v>
      </c>
      <c r="G528" s="2">
        <v>94</v>
      </c>
      <c r="H528" s="1">
        <v>565</v>
      </c>
      <c r="I528" s="2">
        <v>58</v>
      </c>
    </row>
    <row r="529" spans="1:9" ht="12.75" x14ac:dyDescent="0.2">
      <c r="A529" s="3">
        <v>45920</v>
      </c>
      <c r="B529" s="1" t="str">
        <f t="shared" si="12"/>
        <v>20/09/25 Sábado</v>
      </c>
      <c r="C529" s="1" t="s">
        <v>9</v>
      </c>
      <c r="D529" s="1">
        <v>0</v>
      </c>
      <c r="E529" s="2">
        <v>0</v>
      </c>
      <c r="F529" s="2">
        <v>0</v>
      </c>
      <c r="G529" s="2">
        <v>0</v>
      </c>
      <c r="H529" s="1">
        <v>0</v>
      </c>
      <c r="I529" s="2">
        <v>0</v>
      </c>
    </row>
    <row r="530" spans="1:9" ht="12.75" x14ac:dyDescent="0.2">
      <c r="A530" s="3">
        <v>45920</v>
      </c>
      <c r="B530" s="1" t="str">
        <f t="shared" si="12"/>
        <v>20/09/25 Sábado</v>
      </c>
      <c r="C530" s="1" t="s">
        <v>10</v>
      </c>
      <c r="D530" s="1">
        <v>0</v>
      </c>
      <c r="E530" s="2">
        <v>0</v>
      </c>
      <c r="F530" s="2">
        <v>0</v>
      </c>
      <c r="G530" s="2">
        <v>0</v>
      </c>
      <c r="H530" s="1">
        <v>0</v>
      </c>
      <c r="I530" s="2">
        <v>0</v>
      </c>
    </row>
    <row r="531" spans="1:9" ht="12.75" x14ac:dyDescent="0.2">
      <c r="A531" s="3">
        <v>45920</v>
      </c>
      <c r="B531" s="1" t="str">
        <f t="shared" si="12"/>
        <v>20/09/25 Sábado</v>
      </c>
      <c r="C531" s="1" t="s">
        <v>11</v>
      </c>
      <c r="D531" s="1">
        <v>0</v>
      </c>
      <c r="E531" s="2">
        <v>0</v>
      </c>
      <c r="F531" s="2">
        <v>0</v>
      </c>
      <c r="G531" s="2">
        <v>0</v>
      </c>
      <c r="H531" s="1">
        <v>0</v>
      </c>
      <c r="I531" s="2">
        <v>0</v>
      </c>
    </row>
    <row r="532" spans="1:9" ht="12.75" x14ac:dyDescent="0.2">
      <c r="A532" s="3">
        <v>45920</v>
      </c>
      <c r="B532" s="1" t="str">
        <f t="shared" si="12"/>
        <v>20/09/25 Sábado</v>
      </c>
      <c r="C532" s="1" t="s">
        <v>12</v>
      </c>
      <c r="D532" s="1">
        <v>931</v>
      </c>
      <c r="E532" s="2">
        <v>890</v>
      </c>
      <c r="F532" s="2">
        <v>862</v>
      </c>
      <c r="G532" s="2">
        <v>28</v>
      </c>
      <c r="H532" s="1">
        <v>739</v>
      </c>
      <c r="I532" s="2">
        <v>123</v>
      </c>
    </row>
    <row r="533" spans="1:9" ht="12.75" x14ac:dyDescent="0.2">
      <c r="A533" s="3">
        <v>45920</v>
      </c>
      <c r="B533" s="1" t="str">
        <f t="shared" si="12"/>
        <v>20/09/25 Sábado</v>
      </c>
      <c r="C533" s="1" t="s">
        <v>13</v>
      </c>
      <c r="D533" s="1">
        <v>231</v>
      </c>
      <c r="E533" s="2">
        <v>278</v>
      </c>
      <c r="F533" s="2">
        <v>162</v>
      </c>
      <c r="G533" s="2">
        <v>116</v>
      </c>
      <c r="H533" s="1">
        <v>149</v>
      </c>
      <c r="I533" s="2">
        <v>13</v>
      </c>
    </row>
    <row r="534" spans="1:9" ht="12.75" x14ac:dyDescent="0.2">
      <c r="A534" s="3">
        <v>45920</v>
      </c>
      <c r="B534" s="1" t="str">
        <f t="shared" si="12"/>
        <v>20/09/25 Sábado</v>
      </c>
      <c r="C534" s="1" t="s">
        <v>14</v>
      </c>
      <c r="D534" s="1">
        <v>285</v>
      </c>
      <c r="E534" s="2">
        <v>950</v>
      </c>
      <c r="F534" s="2">
        <v>825</v>
      </c>
      <c r="G534" s="2">
        <v>125</v>
      </c>
      <c r="H534" s="1">
        <v>749</v>
      </c>
      <c r="I534" s="2">
        <v>76</v>
      </c>
    </row>
    <row r="535" spans="1:9" ht="12.75" x14ac:dyDescent="0.2">
      <c r="A535" s="3">
        <v>45920</v>
      </c>
      <c r="B535" s="1" t="str">
        <f t="shared" si="12"/>
        <v>20/09/25 Sábado</v>
      </c>
      <c r="C535" s="1" t="s">
        <v>15</v>
      </c>
      <c r="D535" s="1">
        <v>742</v>
      </c>
      <c r="E535" s="2">
        <v>750</v>
      </c>
      <c r="F535" s="2">
        <v>630</v>
      </c>
      <c r="G535" s="2">
        <v>120</v>
      </c>
      <c r="H535" s="1">
        <v>583</v>
      </c>
      <c r="I535" s="2">
        <v>47</v>
      </c>
    </row>
    <row r="536" spans="1:9" ht="12.75" x14ac:dyDescent="0.2">
      <c r="A536" s="3">
        <v>45921</v>
      </c>
      <c r="B536" s="1" t="str">
        <f t="shared" si="12"/>
        <v>21/09/25 Domingo</v>
      </c>
      <c r="C536" s="1" t="s">
        <v>8</v>
      </c>
      <c r="D536" s="1">
        <v>225</v>
      </c>
      <c r="E536" s="2">
        <v>293</v>
      </c>
      <c r="F536" s="2">
        <v>243</v>
      </c>
      <c r="G536" s="2">
        <v>50</v>
      </c>
      <c r="H536" s="1">
        <v>224</v>
      </c>
      <c r="I536" s="2">
        <v>19</v>
      </c>
    </row>
    <row r="537" spans="1:9" ht="12.75" x14ac:dyDescent="0.2">
      <c r="A537" s="3">
        <v>45921</v>
      </c>
      <c r="B537" s="1" t="str">
        <f t="shared" si="12"/>
        <v>21/09/25 Domingo</v>
      </c>
      <c r="C537" s="1" t="s">
        <v>9</v>
      </c>
      <c r="D537" s="1">
        <v>301</v>
      </c>
      <c r="E537" s="2">
        <v>229</v>
      </c>
      <c r="F537" s="2">
        <v>229</v>
      </c>
      <c r="G537" s="2">
        <v>24</v>
      </c>
      <c r="H537" s="1">
        <v>229</v>
      </c>
      <c r="I537" s="2">
        <v>0</v>
      </c>
    </row>
    <row r="538" spans="1:9" ht="12.75" x14ac:dyDescent="0.2">
      <c r="A538" s="3">
        <v>45921</v>
      </c>
      <c r="B538" s="1" t="str">
        <f t="shared" si="12"/>
        <v>21/09/25 Domingo</v>
      </c>
      <c r="C538" s="1" t="s">
        <v>10</v>
      </c>
      <c r="D538" s="1">
        <v>801</v>
      </c>
      <c r="E538" s="2">
        <v>921</v>
      </c>
      <c r="F538" s="2">
        <v>787</v>
      </c>
      <c r="G538" s="2">
        <v>134</v>
      </c>
      <c r="H538" s="1">
        <v>770</v>
      </c>
      <c r="I538" s="2">
        <v>17</v>
      </c>
    </row>
    <row r="539" spans="1:9" ht="12.75" x14ac:dyDescent="0.2">
      <c r="A539" s="3">
        <v>45921</v>
      </c>
      <c r="B539" s="1" t="str">
        <f t="shared" si="12"/>
        <v>21/09/25 Domingo</v>
      </c>
      <c r="C539" s="1" t="s">
        <v>11</v>
      </c>
      <c r="D539" s="1">
        <v>1734</v>
      </c>
      <c r="E539" s="2">
        <v>1161</v>
      </c>
      <c r="F539" s="2">
        <v>1134</v>
      </c>
      <c r="G539" s="2">
        <v>28</v>
      </c>
      <c r="H539" s="1">
        <v>1123</v>
      </c>
      <c r="I539" s="2">
        <v>11</v>
      </c>
    </row>
    <row r="540" spans="1:9" ht="12.75" x14ac:dyDescent="0.2">
      <c r="A540" s="3">
        <v>45921</v>
      </c>
      <c r="B540" s="1" t="str">
        <f t="shared" si="12"/>
        <v>21/09/25 Domingo</v>
      </c>
      <c r="C540" s="1" t="s">
        <v>12</v>
      </c>
      <c r="D540" s="1">
        <v>460</v>
      </c>
      <c r="E540" s="2">
        <v>281</v>
      </c>
      <c r="F540" s="2">
        <v>252</v>
      </c>
      <c r="G540" s="2">
        <v>29</v>
      </c>
      <c r="H540" s="1">
        <v>230</v>
      </c>
      <c r="I540" s="2">
        <v>22</v>
      </c>
    </row>
    <row r="541" spans="1:9" ht="12.75" x14ac:dyDescent="0.2">
      <c r="A541" s="3">
        <v>45921</v>
      </c>
      <c r="B541" s="1" t="str">
        <f t="shared" si="12"/>
        <v>21/09/25 Domingo</v>
      </c>
      <c r="C541" s="1" t="s">
        <v>13</v>
      </c>
      <c r="D541" s="1">
        <v>451</v>
      </c>
      <c r="E541" s="2">
        <v>561</v>
      </c>
      <c r="F541" s="2">
        <v>509</v>
      </c>
      <c r="G541" s="2">
        <v>52</v>
      </c>
      <c r="H541" s="1">
        <v>504</v>
      </c>
      <c r="I541" s="2">
        <v>5</v>
      </c>
    </row>
    <row r="542" spans="1:9" ht="12.75" x14ac:dyDescent="0.2">
      <c r="A542" s="3">
        <v>45921</v>
      </c>
      <c r="B542" s="1" t="str">
        <f t="shared" si="12"/>
        <v>21/09/25 Domingo</v>
      </c>
      <c r="C542" s="1" t="s">
        <v>14</v>
      </c>
      <c r="D542" s="1">
        <v>0</v>
      </c>
      <c r="E542" s="2">
        <v>183</v>
      </c>
      <c r="F542" s="2">
        <v>142</v>
      </c>
      <c r="G542" s="2">
        <v>41</v>
      </c>
      <c r="H542" s="1">
        <v>119</v>
      </c>
      <c r="I542" s="2">
        <v>23</v>
      </c>
    </row>
    <row r="543" spans="1:9" ht="12.75" x14ac:dyDescent="0.2">
      <c r="A543" s="3">
        <v>45921</v>
      </c>
      <c r="B543" s="1" t="str">
        <f t="shared" si="12"/>
        <v>21/09/25 Domingo</v>
      </c>
      <c r="C543" s="1" t="s">
        <v>15</v>
      </c>
      <c r="D543" s="1">
        <v>0</v>
      </c>
      <c r="E543" s="2">
        <v>668</v>
      </c>
      <c r="F543" s="2">
        <v>666</v>
      </c>
      <c r="G543" s="2">
        <v>2</v>
      </c>
      <c r="H543" s="1">
        <v>612</v>
      </c>
      <c r="I543" s="2">
        <v>54</v>
      </c>
    </row>
    <row r="544" spans="1:9" ht="12.75" x14ac:dyDescent="0.2">
      <c r="A544" s="3">
        <v>45922</v>
      </c>
      <c r="B544" s="1" t="str">
        <f t="shared" si="12"/>
        <v>22/09/25 Lunes</v>
      </c>
      <c r="C544" s="1" t="s">
        <v>8</v>
      </c>
      <c r="D544" s="1">
        <v>522</v>
      </c>
      <c r="E544" s="2">
        <v>1138</v>
      </c>
      <c r="F544" s="2">
        <v>958</v>
      </c>
      <c r="G544" s="2">
        <v>180</v>
      </c>
      <c r="H544" s="1">
        <v>886</v>
      </c>
      <c r="I544" s="2">
        <v>72</v>
      </c>
    </row>
    <row r="545" spans="1:19" ht="12.75" x14ac:dyDescent="0.2">
      <c r="A545" s="3">
        <v>45922</v>
      </c>
      <c r="B545" s="1" t="str">
        <f t="shared" si="12"/>
        <v>22/09/25 Lunes</v>
      </c>
      <c r="C545" s="1" t="s">
        <v>9</v>
      </c>
      <c r="D545" s="1">
        <v>48</v>
      </c>
      <c r="E545" s="2">
        <v>72</v>
      </c>
      <c r="F545" s="2">
        <v>72</v>
      </c>
      <c r="G545" s="2">
        <v>0</v>
      </c>
      <c r="H545" s="1">
        <v>72</v>
      </c>
      <c r="I545" s="2">
        <v>0</v>
      </c>
      <c r="L545" s="19" t="s">
        <v>38</v>
      </c>
      <c r="M545" s="20" t="s">
        <v>31</v>
      </c>
      <c r="N545" s="20" t="s">
        <v>32</v>
      </c>
      <c r="O545" s="20" t="s">
        <v>33</v>
      </c>
      <c r="P545" s="20" t="s">
        <v>34</v>
      </c>
      <c r="Q545" s="20" t="s">
        <v>35</v>
      </c>
      <c r="R545" s="20" t="s">
        <v>36</v>
      </c>
      <c r="S545" s="21" t="s">
        <v>37</v>
      </c>
    </row>
    <row r="546" spans="1:19" ht="12.75" x14ac:dyDescent="0.2">
      <c r="A546" s="3">
        <v>45922</v>
      </c>
      <c r="B546" s="1" t="str">
        <f t="shared" si="12"/>
        <v>22/09/25 Lunes</v>
      </c>
      <c r="C546" s="1" t="s">
        <v>10</v>
      </c>
      <c r="D546" s="1">
        <v>843</v>
      </c>
      <c r="E546" s="2">
        <v>1095</v>
      </c>
      <c r="F546" s="2">
        <v>998</v>
      </c>
      <c r="G546" s="2">
        <v>97</v>
      </c>
      <c r="H546" s="1">
        <v>983</v>
      </c>
      <c r="I546" s="2">
        <v>15</v>
      </c>
      <c r="L546" s="25">
        <v>45901</v>
      </c>
      <c r="M546" s="16">
        <f>AVERAGE(M6:M27)</f>
        <v>4847.090909090909</v>
      </c>
      <c r="N546" s="16">
        <f>AVERAGE(N6:N27)</f>
        <v>6076.954545454545</v>
      </c>
      <c r="O546" s="17">
        <f>N546/M546</f>
        <v>1.2537323230428747</v>
      </c>
      <c r="P546" s="16">
        <f>AVERAGE(O6:O27)</f>
        <v>4428.363636363636</v>
      </c>
      <c r="Q546" s="17">
        <f>P546/M546</f>
        <v>0.91361266364079663</v>
      </c>
      <c r="R546" s="16">
        <f>AVERAGE(P6:P27)</f>
        <v>4174.545454545455</v>
      </c>
      <c r="S546" s="18">
        <f>R546/M546</f>
        <v>0.86124760868749772</v>
      </c>
    </row>
    <row r="547" spans="1:19" ht="12.75" x14ac:dyDescent="0.2">
      <c r="A547" s="3">
        <v>45922</v>
      </c>
      <c r="B547" s="1" t="str">
        <f t="shared" si="12"/>
        <v>22/09/25 Lunes</v>
      </c>
      <c r="C547" s="1" t="s">
        <v>11</v>
      </c>
      <c r="D547" s="1">
        <v>785</v>
      </c>
      <c r="E547" s="2">
        <v>731</v>
      </c>
      <c r="F547" s="2">
        <v>689</v>
      </c>
      <c r="G547" s="2">
        <v>42</v>
      </c>
      <c r="H547" s="1">
        <v>679</v>
      </c>
      <c r="I547" s="2">
        <v>10</v>
      </c>
      <c r="L547" s="25">
        <v>45931</v>
      </c>
      <c r="M547" s="16">
        <f>AVERAGE(M28:M58)</f>
        <v>4705.2258064516127</v>
      </c>
      <c r="N547" s="16">
        <f>AVERAGE(N28:N58)</f>
        <v>5507.1612903225805</v>
      </c>
      <c r="O547" s="17">
        <f t="shared" ref="O547:O548" si="13">N547/M547</f>
        <v>1.170435068763626</v>
      </c>
      <c r="P547" s="16">
        <f>AVERAGE(O28:O58)</f>
        <v>4623.5161290322585</v>
      </c>
      <c r="Q547" s="17">
        <f t="shared" ref="Q547:Q548" si="14">P547/M547</f>
        <v>0.98263427074906429</v>
      </c>
      <c r="R547" s="16">
        <f>AVERAGE(P28:P58)</f>
        <v>4290.2258064516127</v>
      </c>
      <c r="S547" s="18">
        <f t="shared" ref="S547:S548" si="15">R547/M547</f>
        <v>0.91180019470458373</v>
      </c>
    </row>
    <row r="548" spans="1:19" ht="12.75" x14ac:dyDescent="0.2">
      <c r="A548" s="3">
        <v>45922</v>
      </c>
      <c r="B548" s="1" t="str">
        <f t="shared" si="12"/>
        <v>22/09/25 Lunes</v>
      </c>
      <c r="C548" s="1" t="s">
        <v>12</v>
      </c>
      <c r="D548" s="1">
        <v>445</v>
      </c>
      <c r="E548" s="2">
        <v>906</v>
      </c>
      <c r="F548" s="2">
        <v>696</v>
      </c>
      <c r="G548" s="2">
        <v>213</v>
      </c>
      <c r="H548" s="1">
        <v>621</v>
      </c>
      <c r="I548" s="2">
        <v>75</v>
      </c>
      <c r="L548" s="26">
        <v>45962</v>
      </c>
      <c r="M548" s="22">
        <f>AVERAGE(M59:M61)</f>
        <v>4095.3333333333335</v>
      </c>
      <c r="N548" s="22">
        <f>AVERAGE(N59:N61)</f>
        <v>4825.666666666667</v>
      </c>
      <c r="O548" s="23">
        <f t="shared" si="13"/>
        <v>1.1783330620218135</v>
      </c>
      <c r="P548" s="22">
        <f>AVERAGE(O59:O61)</f>
        <v>4243.666666666667</v>
      </c>
      <c r="Q548" s="23">
        <f t="shared" si="14"/>
        <v>1.0362200879049326</v>
      </c>
      <c r="R548" s="22">
        <f>AVERAGE(P59:P61)</f>
        <v>3997</v>
      </c>
      <c r="S548" s="24">
        <f t="shared" si="15"/>
        <v>0.97598893048998858</v>
      </c>
    </row>
    <row r="549" spans="1:19" ht="12.75" x14ac:dyDescent="0.2">
      <c r="A549" s="3">
        <v>45922</v>
      </c>
      <c r="B549" s="1" t="str">
        <f t="shared" si="12"/>
        <v>22/09/25 Lunes</v>
      </c>
      <c r="C549" s="1" t="s">
        <v>13</v>
      </c>
      <c r="D549" s="1">
        <v>946</v>
      </c>
      <c r="E549" s="2">
        <v>1325</v>
      </c>
      <c r="F549" s="2">
        <v>1075</v>
      </c>
      <c r="G549" s="2">
        <v>251</v>
      </c>
      <c r="H549" s="1">
        <v>1018</v>
      </c>
      <c r="I549" s="2">
        <v>57</v>
      </c>
      <c r="S549" s="15"/>
    </row>
    <row r="550" spans="1:19" ht="12.75" x14ac:dyDescent="0.2">
      <c r="A550" s="3">
        <v>45922</v>
      </c>
      <c r="B550" s="1" t="str">
        <f t="shared" si="12"/>
        <v>22/09/25 Lunes</v>
      </c>
      <c r="C550" s="1" t="s">
        <v>14</v>
      </c>
      <c r="D550" s="1">
        <v>1097</v>
      </c>
      <c r="E550" s="2">
        <v>898</v>
      </c>
      <c r="F550" s="2">
        <v>578</v>
      </c>
      <c r="G550" s="2">
        <v>320</v>
      </c>
      <c r="H550" s="1">
        <v>505</v>
      </c>
      <c r="I550" s="2">
        <v>73</v>
      </c>
    </row>
    <row r="551" spans="1:19" ht="12.75" x14ac:dyDescent="0.2">
      <c r="A551" s="3">
        <v>45922</v>
      </c>
      <c r="B551" s="1" t="str">
        <f t="shared" si="12"/>
        <v>22/09/25 Lunes</v>
      </c>
      <c r="C551" s="1" t="s">
        <v>15</v>
      </c>
      <c r="D551" s="1">
        <v>664</v>
      </c>
      <c r="E551" s="2">
        <v>549</v>
      </c>
      <c r="F551" s="2">
        <v>351</v>
      </c>
      <c r="G551" s="2">
        <v>198</v>
      </c>
      <c r="H551" s="1">
        <v>325</v>
      </c>
      <c r="I551" s="2">
        <v>26</v>
      </c>
    </row>
    <row r="552" spans="1:19" ht="12.75" x14ac:dyDescent="0.2">
      <c r="A552" s="3">
        <v>45923</v>
      </c>
      <c r="B552" s="1" t="str">
        <f t="shared" si="12"/>
        <v>23/09/25 Martes</v>
      </c>
      <c r="C552" s="1" t="s">
        <v>8</v>
      </c>
      <c r="D552" s="1">
        <v>865</v>
      </c>
      <c r="E552" s="2">
        <v>616</v>
      </c>
      <c r="F552" s="2">
        <v>438</v>
      </c>
      <c r="G552" s="2">
        <v>178</v>
      </c>
      <c r="H552" s="1">
        <v>390</v>
      </c>
      <c r="I552" s="2">
        <v>48</v>
      </c>
    </row>
    <row r="553" spans="1:19" ht="12.75" x14ac:dyDescent="0.2">
      <c r="A553" s="3">
        <v>45923</v>
      </c>
      <c r="B553" s="1" t="str">
        <f t="shared" si="12"/>
        <v>23/09/25 Martes</v>
      </c>
      <c r="C553" s="1" t="s">
        <v>9</v>
      </c>
      <c r="D553" s="1">
        <v>253</v>
      </c>
      <c r="E553" s="2">
        <v>238</v>
      </c>
      <c r="F553" s="2">
        <v>238</v>
      </c>
      <c r="G553" s="2">
        <v>15</v>
      </c>
      <c r="H553" s="1">
        <v>238</v>
      </c>
      <c r="I553" s="2">
        <v>0</v>
      </c>
    </row>
    <row r="554" spans="1:19" ht="12.75" x14ac:dyDescent="0.2">
      <c r="A554" s="3">
        <v>45923</v>
      </c>
      <c r="B554" s="1" t="str">
        <f t="shared" si="12"/>
        <v>23/09/25 Martes</v>
      </c>
      <c r="C554" s="1" t="s">
        <v>10</v>
      </c>
      <c r="D554" s="1">
        <v>801</v>
      </c>
      <c r="E554" s="2">
        <v>749</v>
      </c>
      <c r="F554" s="2">
        <v>717</v>
      </c>
      <c r="G554" s="2">
        <v>32</v>
      </c>
      <c r="H554" s="1">
        <v>710</v>
      </c>
      <c r="I554" s="2">
        <v>7</v>
      </c>
    </row>
    <row r="555" spans="1:19" ht="12.75" x14ac:dyDescent="0.2">
      <c r="A555" s="3">
        <v>45923</v>
      </c>
      <c r="B555" s="1" t="str">
        <f t="shared" si="12"/>
        <v>23/09/25 Martes</v>
      </c>
      <c r="C555" s="1" t="s">
        <v>11</v>
      </c>
      <c r="D555" s="1">
        <v>949</v>
      </c>
      <c r="E555" s="2">
        <v>1176</v>
      </c>
      <c r="F555" s="2">
        <v>1178</v>
      </c>
      <c r="G555" s="2">
        <v>0</v>
      </c>
      <c r="H555" s="1">
        <v>1165</v>
      </c>
      <c r="I555" s="2">
        <v>13</v>
      </c>
    </row>
    <row r="556" spans="1:19" ht="12.75" x14ac:dyDescent="0.2">
      <c r="A556" s="3">
        <v>45923</v>
      </c>
      <c r="B556" s="1" t="str">
        <f t="shared" si="12"/>
        <v>23/09/25 Martes</v>
      </c>
      <c r="C556" s="1" t="s">
        <v>12</v>
      </c>
      <c r="D556" s="1">
        <v>946</v>
      </c>
      <c r="E556" s="2">
        <v>956</v>
      </c>
      <c r="F556" s="2">
        <v>822</v>
      </c>
      <c r="G556" s="2">
        <v>134</v>
      </c>
      <c r="H556" s="1">
        <v>751</v>
      </c>
      <c r="I556" s="2">
        <v>71</v>
      </c>
    </row>
    <row r="557" spans="1:19" ht="12.75" x14ac:dyDescent="0.2">
      <c r="A557" s="3">
        <v>45923</v>
      </c>
      <c r="B557" s="1" t="str">
        <f t="shared" si="12"/>
        <v>23/09/25 Martes</v>
      </c>
      <c r="C557" s="1" t="s">
        <v>13</v>
      </c>
      <c r="D557" s="1">
        <v>454</v>
      </c>
      <c r="E557" s="2">
        <v>524</v>
      </c>
      <c r="F557" s="2">
        <v>448</v>
      </c>
      <c r="G557" s="2">
        <v>76</v>
      </c>
      <c r="H557" s="1">
        <v>434</v>
      </c>
      <c r="I557" s="2">
        <v>14</v>
      </c>
    </row>
    <row r="558" spans="1:19" ht="12.75" x14ac:dyDescent="0.2">
      <c r="A558" s="3">
        <v>45923</v>
      </c>
      <c r="B558" s="1" t="str">
        <f t="shared" si="12"/>
        <v>23/09/25 Martes</v>
      </c>
      <c r="C558" s="1" t="s">
        <v>14</v>
      </c>
      <c r="D558" s="1">
        <v>285</v>
      </c>
      <c r="E558" s="2">
        <v>1078</v>
      </c>
      <c r="F558" s="2">
        <v>873</v>
      </c>
      <c r="G558" s="2">
        <v>205</v>
      </c>
      <c r="H558" s="1">
        <v>777</v>
      </c>
      <c r="I558" s="2">
        <v>96</v>
      </c>
    </row>
    <row r="559" spans="1:19" ht="12.75" x14ac:dyDescent="0.2">
      <c r="A559" s="3">
        <v>45923</v>
      </c>
      <c r="B559" s="1" t="str">
        <f t="shared" si="12"/>
        <v>23/09/25 Martes</v>
      </c>
      <c r="C559" s="1" t="s">
        <v>15</v>
      </c>
      <c r="D559" s="1">
        <v>742</v>
      </c>
      <c r="E559" s="2">
        <v>1029</v>
      </c>
      <c r="F559" s="2">
        <v>643</v>
      </c>
      <c r="G559" s="2">
        <v>386</v>
      </c>
      <c r="H559" s="1">
        <v>591</v>
      </c>
      <c r="I559" s="2">
        <v>52</v>
      </c>
    </row>
    <row r="560" spans="1:19" ht="12.75" x14ac:dyDescent="0.2">
      <c r="A560" s="3">
        <v>45924</v>
      </c>
      <c r="B560" s="1" t="str">
        <f t="shared" si="12"/>
        <v>24/09/25 Miércoles</v>
      </c>
      <c r="C560" s="1" t="s">
        <v>8</v>
      </c>
      <c r="D560" s="1">
        <v>522</v>
      </c>
      <c r="E560" s="2">
        <v>1228</v>
      </c>
      <c r="F560" s="2">
        <v>572</v>
      </c>
      <c r="G560" s="2">
        <v>656</v>
      </c>
      <c r="H560" s="1">
        <v>521</v>
      </c>
      <c r="I560" s="2">
        <v>51</v>
      </c>
    </row>
    <row r="561" spans="1:9" ht="12.75" x14ac:dyDescent="0.2">
      <c r="A561" s="3">
        <v>45924</v>
      </c>
      <c r="B561" s="1" t="str">
        <f t="shared" si="12"/>
        <v>24/09/25 Miércoles</v>
      </c>
      <c r="C561" s="1" t="s">
        <v>9</v>
      </c>
      <c r="D561" s="1">
        <v>48</v>
      </c>
      <c r="E561" s="2">
        <v>63</v>
      </c>
      <c r="F561" s="2">
        <v>63</v>
      </c>
      <c r="G561" s="2">
        <v>0</v>
      </c>
      <c r="H561" s="1">
        <v>63</v>
      </c>
      <c r="I561" s="2">
        <v>0</v>
      </c>
    </row>
    <row r="562" spans="1:9" ht="12.75" x14ac:dyDescent="0.2">
      <c r="A562" s="3">
        <v>45924</v>
      </c>
      <c r="B562" s="1" t="str">
        <f t="shared" si="12"/>
        <v>24/09/25 Miércoles</v>
      </c>
      <c r="C562" s="1" t="s">
        <v>10</v>
      </c>
      <c r="D562" s="1">
        <v>843</v>
      </c>
      <c r="E562" s="2">
        <v>1047</v>
      </c>
      <c r="F562" s="2">
        <v>828</v>
      </c>
      <c r="G562" s="2">
        <v>219</v>
      </c>
      <c r="H562" s="1">
        <v>819</v>
      </c>
      <c r="I562" s="2">
        <v>9</v>
      </c>
    </row>
    <row r="563" spans="1:9" ht="12.75" x14ac:dyDescent="0.2">
      <c r="A563" s="3">
        <v>45924</v>
      </c>
      <c r="B563" s="1" t="str">
        <f t="shared" si="12"/>
        <v>24/09/25 Miércoles</v>
      </c>
      <c r="C563" s="1" t="s">
        <v>11</v>
      </c>
      <c r="D563" s="1">
        <v>785</v>
      </c>
      <c r="E563" s="2">
        <v>652</v>
      </c>
      <c r="F563" s="2">
        <v>652</v>
      </c>
      <c r="G563" s="2">
        <v>0</v>
      </c>
      <c r="H563" s="1">
        <v>642</v>
      </c>
      <c r="I563" s="2">
        <v>10</v>
      </c>
    </row>
    <row r="564" spans="1:9" ht="12.75" x14ac:dyDescent="0.2">
      <c r="A564" s="3">
        <v>45924</v>
      </c>
      <c r="B564" s="1" t="str">
        <f t="shared" si="12"/>
        <v>24/09/25 Miércoles</v>
      </c>
      <c r="C564" s="1" t="s">
        <v>12</v>
      </c>
      <c r="D564" s="1">
        <v>445</v>
      </c>
      <c r="E564" s="2">
        <v>1003</v>
      </c>
      <c r="F564" s="2">
        <v>695</v>
      </c>
      <c r="G564" s="2">
        <v>309</v>
      </c>
      <c r="H564" s="1">
        <v>611</v>
      </c>
      <c r="I564" s="2">
        <v>84</v>
      </c>
    </row>
    <row r="565" spans="1:9" ht="12.75" x14ac:dyDescent="0.2">
      <c r="A565" s="3">
        <v>45924</v>
      </c>
      <c r="B565" s="1" t="str">
        <f t="shared" si="12"/>
        <v>24/09/25 Miércoles</v>
      </c>
      <c r="C565" s="1" t="s">
        <v>13</v>
      </c>
      <c r="D565" s="1">
        <v>952</v>
      </c>
      <c r="E565" s="2">
        <v>905</v>
      </c>
      <c r="F565" s="2">
        <v>670</v>
      </c>
      <c r="G565" s="2">
        <v>269</v>
      </c>
      <c r="H565" s="1">
        <v>660</v>
      </c>
      <c r="I565" s="2">
        <v>10</v>
      </c>
    </row>
    <row r="566" spans="1:9" ht="12.75" x14ac:dyDescent="0.2">
      <c r="A566" s="3">
        <v>45924</v>
      </c>
      <c r="B566" s="1" t="str">
        <f t="shared" si="12"/>
        <v>24/09/25 Miércoles</v>
      </c>
      <c r="C566" s="1" t="s">
        <v>14</v>
      </c>
      <c r="D566" s="1">
        <v>1097</v>
      </c>
      <c r="E566" s="2">
        <v>766</v>
      </c>
      <c r="F566" s="2">
        <v>573</v>
      </c>
      <c r="G566" s="2">
        <v>193</v>
      </c>
      <c r="H566" s="1">
        <v>502</v>
      </c>
      <c r="I566" s="2">
        <v>71</v>
      </c>
    </row>
    <row r="567" spans="1:9" ht="12.75" x14ac:dyDescent="0.2">
      <c r="A567" s="3">
        <v>45924</v>
      </c>
      <c r="B567" s="1" t="str">
        <f t="shared" si="12"/>
        <v>24/09/25 Miércoles</v>
      </c>
      <c r="C567" s="1" t="s">
        <v>15</v>
      </c>
      <c r="D567" s="1">
        <v>664</v>
      </c>
      <c r="E567" s="2">
        <v>856</v>
      </c>
      <c r="F567" s="2">
        <v>492</v>
      </c>
      <c r="G567" s="2">
        <v>364</v>
      </c>
      <c r="H567" s="1">
        <v>448</v>
      </c>
      <c r="I567" s="2">
        <v>44</v>
      </c>
    </row>
    <row r="568" spans="1:9" ht="12.75" x14ac:dyDescent="0.2">
      <c r="A568" s="3">
        <v>45925</v>
      </c>
      <c r="B568" s="1" t="str">
        <f t="shared" si="12"/>
        <v>25/09/25 Jueves</v>
      </c>
      <c r="C568" s="1" t="s">
        <v>8</v>
      </c>
      <c r="D568" s="1">
        <v>865</v>
      </c>
      <c r="E568" s="2">
        <v>1039</v>
      </c>
      <c r="F568" s="2">
        <v>868</v>
      </c>
      <c r="G568" s="2">
        <v>171</v>
      </c>
      <c r="H568" s="1">
        <v>789</v>
      </c>
      <c r="I568" s="2">
        <v>79</v>
      </c>
    </row>
    <row r="569" spans="1:9" ht="12.75" x14ac:dyDescent="0.2">
      <c r="A569" s="3">
        <v>45925</v>
      </c>
      <c r="B569" s="1" t="str">
        <f t="shared" si="12"/>
        <v>25/09/25 Jueves</v>
      </c>
      <c r="C569" s="1" t="s">
        <v>9</v>
      </c>
      <c r="D569" s="1">
        <v>253</v>
      </c>
      <c r="E569" s="2">
        <v>244</v>
      </c>
      <c r="F569" s="2">
        <v>245</v>
      </c>
      <c r="G569" s="2">
        <v>8</v>
      </c>
      <c r="H569" s="1">
        <v>244</v>
      </c>
      <c r="I569" s="2">
        <v>1</v>
      </c>
    </row>
    <row r="570" spans="1:9" ht="12.75" x14ac:dyDescent="0.2">
      <c r="A570" s="3">
        <v>45925</v>
      </c>
      <c r="B570" s="1" t="str">
        <f t="shared" si="12"/>
        <v>25/09/25 Jueves</v>
      </c>
      <c r="C570" s="1" t="s">
        <v>10</v>
      </c>
      <c r="D570" s="1">
        <v>801</v>
      </c>
      <c r="E570" s="2">
        <v>815</v>
      </c>
      <c r="F570" s="2">
        <v>815</v>
      </c>
      <c r="G570" s="2">
        <v>0</v>
      </c>
      <c r="H570" s="1">
        <v>803</v>
      </c>
      <c r="I570" s="2">
        <v>12</v>
      </c>
    </row>
    <row r="571" spans="1:9" ht="12.75" x14ac:dyDescent="0.2">
      <c r="A571" s="3">
        <v>45925</v>
      </c>
      <c r="B571" s="1" t="str">
        <f t="shared" si="12"/>
        <v>25/09/25 Jueves</v>
      </c>
      <c r="C571" s="1" t="s">
        <v>11</v>
      </c>
      <c r="D571" s="1">
        <v>949</v>
      </c>
      <c r="E571" s="2">
        <v>1163</v>
      </c>
      <c r="F571" s="2">
        <v>1140</v>
      </c>
      <c r="G571" s="2">
        <v>24</v>
      </c>
      <c r="H571" s="1">
        <v>1127</v>
      </c>
      <c r="I571" s="2">
        <v>13</v>
      </c>
    </row>
    <row r="572" spans="1:9" ht="12.75" x14ac:dyDescent="0.2">
      <c r="A572" s="3">
        <v>45925</v>
      </c>
      <c r="B572" s="1" t="str">
        <f t="shared" si="12"/>
        <v>25/09/25 Jueves</v>
      </c>
      <c r="C572" s="1" t="s">
        <v>12</v>
      </c>
      <c r="D572" s="1">
        <v>946</v>
      </c>
      <c r="E572" s="2">
        <v>784</v>
      </c>
      <c r="F572" s="2">
        <v>594</v>
      </c>
      <c r="G572" s="2">
        <v>190</v>
      </c>
      <c r="H572" s="1">
        <v>532</v>
      </c>
      <c r="I572" s="2">
        <v>62</v>
      </c>
    </row>
    <row r="573" spans="1:9" ht="12.75" x14ac:dyDescent="0.2">
      <c r="A573" s="3">
        <v>45925</v>
      </c>
      <c r="B573" s="1" t="str">
        <f t="shared" si="12"/>
        <v>25/09/25 Jueves</v>
      </c>
      <c r="C573" s="1" t="s">
        <v>13</v>
      </c>
      <c r="D573" s="1">
        <v>416</v>
      </c>
      <c r="E573" s="2">
        <v>792</v>
      </c>
      <c r="F573" s="2">
        <v>731</v>
      </c>
      <c r="G573" s="2">
        <v>61</v>
      </c>
      <c r="H573" s="1">
        <v>691</v>
      </c>
      <c r="I573" s="2">
        <v>40</v>
      </c>
    </row>
    <row r="574" spans="1:9" ht="12.75" x14ac:dyDescent="0.2">
      <c r="A574" s="3">
        <v>45925</v>
      </c>
      <c r="B574" s="1" t="str">
        <f t="shared" si="12"/>
        <v>25/09/25 Jueves</v>
      </c>
      <c r="C574" s="1" t="s">
        <v>14</v>
      </c>
      <c r="D574" s="1">
        <v>285</v>
      </c>
      <c r="E574" s="2">
        <v>754</v>
      </c>
      <c r="F574" s="2">
        <v>462</v>
      </c>
      <c r="G574" s="2">
        <v>292</v>
      </c>
      <c r="H574" s="1">
        <v>386</v>
      </c>
      <c r="I574" s="2">
        <v>76</v>
      </c>
    </row>
    <row r="575" spans="1:9" ht="12.75" x14ac:dyDescent="0.2">
      <c r="A575" s="3">
        <v>45925</v>
      </c>
      <c r="B575" s="1" t="str">
        <f t="shared" si="12"/>
        <v>25/09/25 Jueves</v>
      </c>
      <c r="C575" s="1" t="s">
        <v>15</v>
      </c>
      <c r="D575" s="1">
        <v>742</v>
      </c>
      <c r="E575" s="2">
        <v>994</v>
      </c>
      <c r="F575" s="2">
        <v>534</v>
      </c>
      <c r="G575" s="2">
        <v>460</v>
      </c>
      <c r="H575" s="1">
        <v>495</v>
      </c>
      <c r="I575" s="2">
        <v>39</v>
      </c>
    </row>
    <row r="576" spans="1:9" ht="12.75" x14ac:dyDescent="0.2">
      <c r="A576" s="3">
        <v>45926</v>
      </c>
      <c r="B576" s="1" t="str">
        <f t="shared" si="12"/>
        <v>26/09/25 Viernes</v>
      </c>
      <c r="C576" s="1" t="s">
        <v>8</v>
      </c>
      <c r="D576" s="1">
        <v>522</v>
      </c>
      <c r="E576" s="2">
        <v>584</v>
      </c>
      <c r="F576" s="2">
        <v>480</v>
      </c>
      <c r="G576" s="2">
        <v>106</v>
      </c>
      <c r="H576" s="1">
        <v>449</v>
      </c>
      <c r="I576" s="2">
        <v>31</v>
      </c>
    </row>
    <row r="577" spans="1:9" ht="12.75" x14ac:dyDescent="0.2">
      <c r="A577" s="3">
        <v>45926</v>
      </c>
      <c r="B577" s="1" t="str">
        <f t="shared" si="12"/>
        <v>26/09/25 Viernes</v>
      </c>
      <c r="C577" s="1" t="s">
        <v>9</v>
      </c>
      <c r="D577" s="1">
        <v>48</v>
      </c>
      <c r="E577" s="2">
        <v>48</v>
      </c>
      <c r="F577" s="2">
        <v>50</v>
      </c>
      <c r="G577" s="2">
        <v>0</v>
      </c>
      <c r="H577" s="1">
        <v>48</v>
      </c>
      <c r="I577" s="2">
        <v>2</v>
      </c>
    </row>
    <row r="578" spans="1:9" ht="12.75" x14ac:dyDescent="0.2">
      <c r="A578" s="3">
        <v>45926</v>
      </c>
      <c r="B578" s="1" t="str">
        <f t="shared" si="12"/>
        <v>26/09/25 Viernes</v>
      </c>
      <c r="C578" s="1" t="s">
        <v>10</v>
      </c>
      <c r="D578" s="1">
        <v>843</v>
      </c>
      <c r="E578" s="2">
        <v>892</v>
      </c>
      <c r="F578" s="2">
        <v>832</v>
      </c>
      <c r="G578" s="2">
        <v>60</v>
      </c>
      <c r="H578" s="1">
        <v>801</v>
      </c>
      <c r="I578" s="2">
        <v>31</v>
      </c>
    </row>
    <row r="579" spans="1:9" ht="12.75" x14ac:dyDescent="0.2">
      <c r="A579" s="3">
        <v>45926</v>
      </c>
      <c r="B579" s="1" t="str">
        <f t="shared" ref="B579:B642" si="16">PROPER(TEXT(A579,"[$-es-ES]dd/mm/yy dddd"))</f>
        <v>26/09/25 Viernes</v>
      </c>
      <c r="C579" s="1" t="s">
        <v>11</v>
      </c>
      <c r="D579" s="1">
        <v>785</v>
      </c>
      <c r="E579" s="2">
        <v>675</v>
      </c>
      <c r="F579" s="2">
        <v>676</v>
      </c>
      <c r="G579" s="2">
        <v>1</v>
      </c>
      <c r="H579" s="1">
        <v>661</v>
      </c>
      <c r="I579" s="2">
        <v>15</v>
      </c>
    </row>
    <row r="580" spans="1:9" ht="12.75" x14ac:dyDescent="0.2">
      <c r="A580" s="3">
        <v>45926</v>
      </c>
      <c r="B580" s="1" t="str">
        <f t="shared" si="16"/>
        <v>26/09/25 Viernes</v>
      </c>
      <c r="C580" s="1" t="s">
        <v>12</v>
      </c>
      <c r="D580" s="1">
        <v>445</v>
      </c>
      <c r="E580" s="2">
        <v>1002</v>
      </c>
      <c r="F580" s="2">
        <v>781</v>
      </c>
      <c r="G580" s="2">
        <v>222</v>
      </c>
      <c r="H580" s="1">
        <v>695</v>
      </c>
      <c r="I580" s="2">
        <v>86</v>
      </c>
    </row>
    <row r="581" spans="1:9" ht="12.75" x14ac:dyDescent="0.2">
      <c r="A581" s="3">
        <v>45926</v>
      </c>
      <c r="B581" s="1" t="str">
        <f t="shared" si="16"/>
        <v>26/09/25 Viernes</v>
      </c>
      <c r="C581" s="1" t="s">
        <v>13</v>
      </c>
      <c r="D581" s="1">
        <v>984</v>
      </c>
      <c r="E581" s="2">
        <v>1060</v>
      </c>
      <c r="F581" s="2">
        <v>987</v>
      </c>
      <c r="G581" s="2">
        <v>73</v>
      </c>
      <c r="H581" s="1">
        <v>962</v>
      </c>
      <c r="I581" s="2">
        <v>25</v>
      </c>
    </row>
    <row r="582" spans="1:9" ht="12.75" x14ac:dyDescent="0.2">
      <c r="A582" s="3">
        <v>45926</v>
      </c>
      <c r="B582" s="1" t="str">
        <f t="shared" si="16"/>
        <v>26/09/25 Viernes</v>
      </c>
      <c r="C582" s="1" t="s">
        <v>14</v>
      </c>
      <c r="D582" s="1">
        <v>1097</v>
      </c>
      <c r="E582" s="2">
        <v>1024</v>
      </c>
      <c r="F582" s="2">
        <v>978</v>
      </c>
      <c r="G582" s="2">
        <v>46</v>
      </c>
      <c r="H582" s="1">
        <v>887</v>
      </c>
      <c r="I582" s="2">
        <v>91</v>
      </c>
    </row>
    <row r="583" spans="1:9" ht="12.75" x14ac:dyDescent="0.2">
      <c r="A583" s="3">
        <v>45926</v>
      </c>
      <c r="B583" s="1" t="str">
        <f t="shared" si="16"/>
        <v>26/09/25 Viernes</v>
      </c>
      <c r="C583" s="1" t="s">
        <v>15</v>
      </c>
      <c r="D583" s="1">
        <v>664</v>
      </c>
      <c r="E583" s="2">
        <v>914</v>
      </c>
      <c r="F583" s="2">
        <v>665</v>
      </c>
      <c r="G583" s="2">
        <v>249</v>
      </c>
      <c r="H583" s="1">
        <v>617</v>
      </c>
      <c r="I583" s="2">
        <v>48</v>
      </c>
    </row>
    <row r="584" spans="1:9" ht="12.75" x14ac:dyDescent="0.2">
      <c r="A584" s="3">
        <v>45927</v>
      </c>
      <c r="B584" s="1" t="str">
        <f t="shared" si="16"/>
        <v>27/09/25 Sábado</v>
      </c>
      <c r="C584" s="1" t="s">
        <v>8</v>
      </c>
      <c r="D584" s="1">
        <v>781</v>
      </c>
      <c r="E584" s="2">
        <v>1039</v>
      </c>
      <c r="F584" s="2">
        <v>797</v>
      </c>
      <c r="G584" s="2">
        <v>242</v>
      </c>
      <c r="H584" s="1">
        <v>701</v>
      </c>
      <c r="I584" s="2">
        <v>96</v>
      </c>
    </row>
    <row r="585" spans="1:9" ht="12.75" x14ac:dyDescent="0.2">
      <c r="A585" s="3">
        <v>45927</v>
      </c>
      <c r="B585" s="1" t="str">
        <f t="shared" si="16"/>
        <v>27/09/25 Sábado</v>
      </c>
      <c r="C585" s="1" t="s">
        <v>9</v>
      </c>
      <c r="D585" s="1">
        <v>0</v>
      </c>
      <c r="E585" s="2">
        <v>0</v>
      </c>
      <c r="F585" s="2">
        <v>0</v>
      </c>
      <c r="G585" s="2">
        <v>0</v>
      </c>
      <c r="H585" s="1">
        <v>0</v>
      </c>
      <c r="I585" s="2">
        <v>0</v>
      </c>
    </row>
    <row r="586" spans="1:9" ht="12.75" x14ac:dyDescent="0.2">
      <c r="A586" s="3">
        <v>45927</v>
      </c>
      <c r="B586" s="1" t="str">
        <f t="shared" si="16"/>
        <v>27/09/25 Sábado</v>
      </c>
      <c r="C586" s="1" t="s">
        <v>10</v>
      </c>
      <c r="D586" s="1">
        <v>0</v>
      </c>
      <c r="E586" s="2">
        <v>0</v>
      </c>
      <c r="F586" s="2">
        <v>0</v>
      </c>
      <c r="G586" s="2">
        <v>0</v>
      </c>
      <c r="H586" s="1">
        <v>0</v>
      </c>
      <c r="I586" s="2">
        <v>0</v>
      </c>
    </row>
    <row r="587" spans="1:9" ht="12.75" x14ac:dyDescent="0.2">
      <c r="A587" s="3">
        <v>45927</v>
      </c>
      <c r="B587" s="1" t="str">
        <f t="shared" si="16"/>
        <v>27/09/25 Sábado</v>
      </c>
      <c r="C587" s="1" t="s">
        <v>11</v>
      </c>
      <c r="D587" s="1">
        <v>0</v>
      </c>
      <c r="E587" s="2">
        <v>0</v>
      </c>
      <c r="F587" s="2">
        <v>0</v>
      </c>
      <c r="G587" s="2">
        <v>0</v>
      </c>
      <c r="H587" s="1">
        <v>0</v>
      </c>
      <c r="I587" s="2">
        <v>0</v>
      </c>
    </row>
    <row r="588" spans="1:9" ht="12.75" x14ac:dyDescent="0.2">
      <c r="A588" s="3">
        <v>45927</v>
      </c>
      <c r="B588" s="1" t="str">
        <f t="shared" si="16"/>
        <v>27/09/25 Sábado</v>
      </c>
      <c r="C588" s="1" t="s">
        <v>12</v>
      </c>
      <c r="D588" s="1">
        <v>946</v>
      </c>
      <c r="E588" s="2">
        <v>879</v>
      </c>
      <c r="F588" s="2">
        <v>731</v>
      </c>
      <c r="G588" s="2">
        <v>148</v>
      </c>
      <c r="H588" s="1">
        <v>629</v>
      </c>
      <c r="I588" s="2">
        <v>102</v>
      </c>
    </row>
    <row r="589" spans="1:9" ht="12.75" x14ac:dyDescent="0.2">
      <c r="A589" s="3">
        <v>45927</v>
      </c>
      <c r="B589" s="1" t="str">
        <f t="shared" si="16"/>
        <v>27/09/25 Sábado</v>
      </c>
      <c r="C589" s="1" t="s">
        <v>13</v>
      </c>
      <c r="D589" s="1">
        <v>231</v>
      </c>
      <c r="E589" s="2">
        <v>145</v>
      </c>
      <c r="F589" s="2">
        <v>80</v>
      </c>
      <c r="G589" s="2">
        <v>65</v>
      </c>
      <c r="H589" s="1">
        <v>70</v>
      </c>
      <c r="I589" s="2">
        <v>10</v>
      </c>
    </row>
    <row r="590" spans="1:9" ht="12.75" x14ac:dyDescent="0.2">
      <c r="A590" s="3">
        <v>45927</v>
      </c>
      <c r="B590" s="1" t="str">
        <f t="shared" si="16"/>
        <v>27/09/25 Sábado</v>
      </c>
      <c r="C590" s="1" t="s">
        <v>14</v>
      </c>
      <c r="D590" s="1">
        <v>285</v>
      </c>
      <c r="E590" s="2">
        <v>368</v>
      </c>
      <c r="F590" s="2">
        <v>335</v>
      </c>
      <c r="G590" s="2">
        <v>33</v>
      </c>
      <c r="H590" s="1">
        <v>281</v>
      </c>
      <c r="I590" s="2">
        <v>54</v>
      </c>
    </row>
    <row r="591" spans="1:9" ht="12.75" x14ac:dyDescent="0.2">
      <c r="A591" s="3">
        <v>45927</v>
      </c>
      <c r="B591" s="1" t="str">
        <f t="shared" si="16"/>
        <v>27/09/25 Sábado</v>
      </c>
      <c r="C591" s="1" t="s">
        <v>15</v>
      </c>
      <c r="D591" s="1">
        <v>742</v>
      </c>
      <c r="E591" s="2">
        <v>591</v>
      </c>
      <c r="F591" s="2">
        <v>504</v>
      </c>
      <c r="G591" s="2">
        <v>87</v>
      </c>
      <c r="H591" s="1">
        <v>458</v>
      </c>
      <c r="I591" s="2">
        <v>46</v>
      </c>
    </row>
    <row r="592" spans="1:9" ht="12.75" x14ac:dyDescent="0.2">
      <c r="A592" s="3">
        <v>45928</v>
      </c>
      <c r="B592" s="1" t="str">
        <f t="shared" si="16"/>
        <v>28/09/25 Domingo</v>
      </c>
      <c r="C592" s="1" t="s">
        <v>8</v>
      </c>
      <c r="D592" s="1">
        <v>223</v>
      </c>
      <c r="E592" s="2">
        <v>325</v>
      </c>
      <c r="F592" s="2">
        <v>311</v>
      </c>
      <c r="G592" s="2">
        <v>14</v>
      </c>
      <c r="H592" s="1">
        <v>273</v>
      </c>
      <c r="I592" s="2">
        <v>38</v>
      </c>
    </row>
    <row r="593" spans="1:9" ht="12.75" x14ac:dyDescent="0.2">
      <c r="A593" s="3">
        <v>45928</v>
      </c>
      <c r="B593" s="1" t="str">
        <f t="shared" si="16"/>
        <v>28/09/25 Domingo</v>
      </c>
      <c r="C593" s="1" t="s">
        <v>9</v>
      </c>
      <c r="D593" s="1">
        <v>301</v>
      </c>
      <c r="E593" s="2">
        <v>192</v>
      </c>
      <c r="F593" s="2">
        <v>196</v>
      </c>
      <c r="G593" s="2">
        <v>57</v>
      </c>
      <c r="H593" s="1">
        <v>192</v>
      </c>
      <c r="I593" s="2">
        <v>4</v>
      </c>
    </row>
    <row r="594" spans="1:9" ht="12.75" x14ac:dyDescent="0.2">
      <c r="A594" s="3">
        <v>45928</v>
      </c>
      <c r="B594" s="1" t="str">
        <f t="shared" si="16"/>
        <v>28/09/25 Domingo</v>
      </c>
      <c r="C594" s="1" t="s">
        <v>10</v>
      </c>
      <c r="D594" s="1">
        <v>801</v>
      </c>
      <c r="E594" s="2">
        <v>837</v>
      </c>
      <c r="F594" s="2">
        <v>800</v>
      </c>
      <c r="G594" s="2">
        <v>37</v>
      </c>
      <c r="H594" s="1">
        <v>781</v>
      </c>
      <c r="I594" s="2">
        <v>19</v>
      </c>
    </row>
    <row r="595" spans="1:9" ht="12.75" x14ac:dyDescent="0.2">
      <c r="A595" s="3">
        <v>45928</v>
      </c>
      <c r="B595" s="1" t="str">
        <f t="shared" si="16"/>
        <v>28/09/25 Domingo</v>
      </c>
      <c r="C595" s="1" t="s">
        <v>11</v>
      </c>
      <c r="D595" s="1">
        <v>1734</v>
      </c>
      <c r="E595" s="2">
        <v>1161</v>
      </c>
      <c r="F595" s="2">
        <v>1101</v>
      </c>
      <c r="G595" s="2">
        <v>61</v>
      </c>
      <c r="H595" s="1">
        <v>1092</v>
      </c>
      <c r="I595" s="2">
        <v>9</v>
      </c>
    </row>
    <row r="596" spans="1:9" ht="12.75" x14ac:dyDescent="0.2">
      <c r="A596" s="3">
        <v>45928</v>
      </c>
      <c r="B596" s="1" t="str">
        <f t="shared" si="16"/>
        <v>28/09/25 Domingo</v>
      </c>
      <c r="C596" s="1" t="s">
        <v>12</v>
      </c>
      <c r="D596" s="1">
        <v>445</v>
      </c>
      <c r="E596" s="2">
        <v>303</v>
      </c>
      <c r="F596" s="2">
        <v>271</v>
      </c>
      <c r="G596" s="2">
        <v>32</v>
      </c>
      <c r="H596" s="1">
        <v>259</v>
      </c>
      <c r="I596" s="2">
        <v>12</v>
      </c>
    </row>
    <row r="597" spans="1:9" ht="12.75" x14ac:dyDescent="0.2">
      <c r="A597" s="3">
        <v>45928</v>
      </c>
      <c r="B597" s="1" t="str">
        <f t="shared" si="16"/>
        <v>28/09/25 Domingo</v>
      </c>
      <c r="C597" s="1" t="s">
        <v>13</v>
      </c>
      <c r="D597" s="1">
        <v>376</v>
      </c>
      <c r="E597" s="2">
        <v>550</v>
      </c>
      <c r="F597" s="2">
        <v>431</v>
      </c>
      <c r="G597" s="2">
        <v>119</v>
      </c>
      <c r="H597" s="1">
        <v>416</v>
      </c>
      <c r="I597" s="2">
        <v>15</v>
      </c>
    </row>
    <row r="598" spans="1:9" ht="12.75" x14ac:dyDescent="0.2">
      <c r="A598" s="3">
        <v>45928</v>
      </c>
      <c r="B598" s="1" t="str">
        <f t="shared" si="16"/>
        <v>28/09/25 Domingo</v>
      </c>
      <c r="C598" s="1" t="s">
        <v>14</v>
      </c>
      <c r="D598" s="1">
        <v>37</v>
      </c>
      <c r="E598" s="2">
        <v>502</v>
      </c>
      <c r="F598" s="2">
        <v>415</v>
      </c>
      <c r="G598" s="2">
        <v>87</v>
      </c>
      <c r="H598" s="1">
        <v>369</v>
      </c>
      <c r="I598" s="2">
        <v>46</v>
      </c>
    </row>
    <row r="599" spans="1:9" ht="12.75" x14ac:dyDescent="0.2">
      <c r="A599" s="3">
        <v>45928</v>
      </c>
      <c r="B599" s="1" t="str">
        <f t="shared" si="16"/>
        <v>28/09/25 Domingo</v>
      </c>
      <c r="C599" s="1" t="s">
        <v>15</v>
      </c>
      <c r="D599" s="1">
        <v>0</v>
      </c>
      <c r="E599" s="2">
        <v>242</v>
      </c>
      <c r="F599" s="2">
        <v>234</v>
      </c>
      <c r="G599" s="2">
        <v>8</v>
      </c>
      <c r="H599" s="1">
        <v>225</v>
      </c>
      <c r="I599" s="2">
        <v>9</v>
      </c>
    </row>
    <row r="600" spans="1:9" ht="12.75" x14ac:dyDescent="0.2">
      <c r="A600" s="3">
        <v>45929</v>
      </c>
      <c r="B600" s="1" t="str">
        <f t="shared" si="16"/>
        <v>29/09/25 Lunes</v>
      </c>
      <c r="C600" s="1" t="s">
        <v>8</v>
      </c>
      <c r="D600" s="1">
        <v>697</v>
      </c>
      <c r="E600" s="2">
        <v>597</v>
      </c>
      <c r="F600" s="2">
        <v>349</v>
      </c>
      <c r="G600" s="2">
        <v>284</v>
      </c>
      <c r="H600" s="1">
        <v>335</v>
      </c>
      <c r="I600" s="2">
        <v>14</v>
      </c>
    </row>
    <row r="601" spans="1:9" ht="12.75" x14ac:dyDescent="0.2">
      <c r="A601" s="3">
        <v>45929</v>
      </c>
      <c r="B601" s="1" t="str">
        <f t="shared" si="16"/>
        <v>29/09/25 Lunes</v>
      </c>
      <c r="C601" s="1" t="s">
        <v>9</v>
      </c>
      <c r="D601" s="1">
        <v>48</v>
      </c>
      <c r="E601" s="2">
        <v>105</v>
      </c>
      <c r="F601" s="2">
        <v>111</v>
      </c>
      <c r="G601" s="2">
        <v>0</v>
      </c>
      <c r="H601" s="1">
        <v>105</v>
      </c>
      <c r="I601" s="2">
        <v>6</v>
      </c>
    </row>
    <row r="602" spans="1:9" ht="12.75" x14ac:dyDescent="0.2">
      <c r="A602" s="3">
        <v>45929</v>
      </c>
      <c r="B602" s="1" t="str">
        <f t="shared" si="16"/>
        <v>29/09/25 Lunes</v>
      </c>
      <c r="C602" s="1" t="s">
        <v>10</v>
      </c>
      <c r="D602" s="1">
        <v>697</v>
      </c>
      <c r="E602" s="2">
        <v>967</v>
      </c>
      <c r="F602" s="2">
        <v>825</v>
      </c>
      <c r="G602" s="2">
        <v>142</v>
      </c>
      <c r="H602" s="1">
        <v>801</v>
      </c>
      <c r="I602" s="2">
        <v>24</v>
      </c>
    </row>
    <row r="603" spans="1:9" ht="12.75" x14ac:dyDescent="0.2">
      <c r="A603" s="3">
        <v>45929</v>
      </c>
      <c r="B603" s="1" t="str">
        <f t="shared" si="16"/>
        <v>29/09/25 Lunes</v>
      </c>
      <c r="C603" s="1" t="s">
        <v>11</v>
      </c>
      <c r="D603" s="1">
        <v>832</v>
      </c>
      <c r="E603" s="2">
        <v>726</v>
      </c>
      <c r="F603" s="2">
        <v>726</v>
      </c>
      <c r="G603" s="2">
        <v>0</v>
      </c>
      <c r="H603" s="1">
        <v>708</v>
      </c>
      <c r="I603" s="2">
        <v>18</v>
      </c>
    </row>
    <row r="604" spans="1:9" ht="12.75" x14ac:dyDescent="0.2">
      <c r="A604" s="3">
        <v>45929</v>
      </c>
      <c r="B604" s="1" t="str">
        <f t="shared" si="16"/>
        <v>29/09/25 Lunes</v>
      </c>
      <c r="C604" s="1" t="s">
        <v>12</v>
      </c>
      <c r="D604" s="1">
        <v>352</v>
      </c>
      <c r="E604" s="2">
        <v>729</v>
      </c>
      <c r="F604" s="2">
        <v>606</v>
      </c>
      <c r="G604" s="2">
        <v>124</v>
      </c>
      <c r="H604" s="1">
        <v>542</v>
      </c>
      <c r="I604" s="2">
        <v>64</v>
      </c>
    </row>
    <row r="605" spans="1:9" ht="12.75" x14ac:dyDescent="0.2">
      <c r="A605" s="3">
        <v>45929</v>
      </c>
      <c r="B605" s="1" t="str">
        <f t="shared" si="16"/>
        <v>29/09/25 Lunes</v>
      </c>
      <c r="C605" s="1" t="s">
        <v>13</v>
      </c>
      <c r="D605" s="1">
        <v>926</v>
      </c>
      <c r="E605" s="2">
        <v>1250</v>
      </c>
      <c r="F605" s="2">
        <v>998</v>
      </c>
      <c r="G605" s="2">
        <v>252</v>
      </c>
      <c r="H605" s="1">
        <v>967</v>
      </c>
      <c r="I605" s="2">
        <v>31</v>
      </c>
    </row>
    <row r="606" spans="1:9" ht="12.75" x14ac:dyDescent="0.2">
      <c r="A606" s="3">
        <v>45929</v>
      </c>
      <c r="B606" s="1" t="str">
        <f t="shared" si="16"/>
        <v>29/09/25 Lunes</v>
      </c>
      <c r="C606" s="1" t="s">
        <v>14</v>
      </c>
      <c r="D606" s="1">
        <v>1099</v>
      </c>
      <c r="E606" s="2">
        <v>1008</v>
      </c>
      <c r="F606" s="2">
        <v>577</v>
      </c>
      <c r="G606" s="2">
        <v>431</v>
      </c>
      <c r="H606" s="1">
        <v>515</v>
      </c>
      <c r="I606" s="2">
        <v>62</v>
      </c>
    </row>
    <row r="607" spans="1:9" ht="12.75" x14ac:dyDescent="0.2">
      <c r="A607" s="3">
        <v>45929</v>
      </c>
      <c r="B607" s="1" t="str">
        <f t="shared" si="16"/>
        <v>29/09/25 Lunes</v>
      </c>
      <c r="C607" s="1" t="s">
        <v>15</v>
      </c>
      <c r="D607" s="1">
        <v>663</v>
      </c>
      <c r="E607" s="2">
        <v>868</v>
      </c>
      <c r="F607" s="2">
        <v>590</v>
      </c>
      <c r="G607" s="2">
        <v>278</v>
      </c>
      <c r="H607" s="1">
        <v>545</v>
      </c>
      <c r="I607" s="2">
        <v>45</v>
      </c>
    </row>
    <row r="608" spans="1:9" ht="12.75" x14ac:dyDescent="0.2">
      <c r="A608" s="3">
        <v>45930</v>
      </c>
      <c r="B608" s="1" t="str">
        <f t="shared" si="16"/>
        <v>30/09/25 Martes</v>
      </c>
      <c r="C608" s="1" t="s">
        <v>8</v>
      </c>
      <c r="D608" s="1">
        <v>690</v>
      </c>
      <c r="E608" s="2">
        <v>1549</v>
      </c>
      <c r="F608" s="2">
        <v>977</v>
      </c>
      <c r="G608" s="2">
        <v>572</v>
      </c>
      <c r="H608" s="1">
        <v>789</v>
      </c>
      <c r="I608" s="2">
        <v>188</v>
      </c>
    </row>
    <row r="609" spans="1:9" ht="12.75" x14ac:dyDescent="0.2">
      <c r="A609" s="3">
        <v>45930</v>
      </c>
      <c r="B609" s="1" t="str">
        <f t="shared" si="16"/>
        <v>30/09/25 Martes</v>
      </c>
      <c r="C609" s="1" t="s">
        <v>9</v>
      </c>
      <c r="D609" s="1">
        <v>253</v>
      </c>
      <c r="E609" s="2">
        <v>255</v>
      </c>
      <c r="F609" s="2">
        <v>229</v>
      </c>
      <c r="G609" s="2">
        <v>26</v>
      </c>
      <c r="H609" s="1">
        <v>228</v>
      </c>
      <c r="I609" s="2">
        <v>1</v>
      </c>
    </row>
    <row r="610" spans="1:9" ht="12.75" x14ac:dyDescent="0.2">
      <c r="A610" s="3">
        <v>45930</v>
      </c>
      <c r="B610" s="1" t="str">
        <f t="shared" si="16"/>
        <v>30/09/25 Martes</v>
      </c>
      <c r="C610" s="1" t="s">
        <v>10</v>
      </c>
      <c r="D610" s="1">
        <v>945</v>
      </c>
      <c r="E610" s="2">
        <v>809</v>
      </c>
      <c r="F610" s="2">
        <v>622</v>
      </c>
      <c r="G610" s="2">
        <v>187</v>
      </c>
      <c r="H610" s="1">
        <v>611</v>
      </c>
      <c r="I610" s="2">
        <v>11</v>
      </c>
    </row>
    <row r="611" spans="1:9" ht="12.75" x14ac:dyDescent="0.2">
      <c r="A611" s="3">
        <v>45930</v>
      </c>
      <c r="B611" s="1" t="str">
        <f t="shared" si="16"/>
        <v>30/09/25 Martes</v>
      </c>
      <c r="C611" s="1" t="s">
        <v>11</v>
      </c>
      <c r="D611" s="1">
        <v>951</v>
      </c>
      <c r="E611" s="2">
        <v>1164</v>
      </c>
      <c r="F611" s="2">
        <v>1091</v>
      </c>
      <c r="G611" s="2">
        <v>73</v>
      </c>
      <c r="H611" s="1">
        <v>1076</v>
      </c>
      <c r="I611" s="2">
        <v>15</v>
      </c>
    </row>
    <row r="612" spans="1:9" ht="12.75" x14ac:dyDescent="0.2">
      <c r="A612" s="3">
        <v>45930</v>
      </c>
      <c r="B612" s="1" t="str">
        <f t="shared" si="16"/>
        <v>30/09/25 Martes</v>
      </c>
      <c r="C612" s="1" t="s">
        <v>12</v>
      </c>
      <c r="D612" s="1">
        <v>1035</v>
      </c>
      <c r="E612" s="2">
        <v>778</v>
      </c>
      <c r="F612" s="2">
        <v>535</v>
      </c>
      <c r="G612" s="2">
        <v>243</v>
      </c>
      <c r="H612" s="1">
        <v>468</v>
      </c>
      <c r="I612" s="2">
        <v>67</v>
      </c>
    </row>
    <row r="613" spans="1:9" ht="12.75" x14ac:dyDescent="0.2">
      <c r="A613" s="3">
        <v>45930</v>
      </c>
      <c r="B613" s="1" t="str">
        <f t="shared" si="16"/>
        <v>30/09/25 Martes</v>
      </c>
      <c r="C613" s="1" t="s">
        <v>13</v>
      </c>
      <c r="D613" s="1">
        <v>480</v>
      </c>
      <c r="E613" s="2">
        <v>622</v>
      </c>
      <c r="F613" s="2">
        <v>267</v>
      </c>
      <c r="G613" s="2">
        <v>355</v>
      </c>
      <c r="H613" s="1">
        <v>255</v>
      </c>
      <c r="I613" s="2">
        <v>12</v>
      </c>
    </row>
    <row r="614" spans="1:9" ht="12.75" x14ac:dyDescent="0.2">
      <c r="A614" s="3">
        <v>45930</v>
      </c>
      <c r="B614" s="1" t="str">
        <f t="shared" si="16"/>
        <v>30/09/25 Martes</v>
      </c>
      <c r="C614" s="1" t="s">
        <v>14</v>
      </c>
      <c r="D614" s="1">
        <v>286</v>
      </c>
      <c r="E614" s="2">
        <v>755</v>
      </c>
      <c r="F614" s="2">
        <v>473</v>
      </c>
      <c r="G614" s="2">
        <v>282</v>
      </c>
      <c r="H614" s="1">
        <v>408</v>
      </c>
      <c r="I614" s="2">
        <v>65</v>
      </c>
    </row>
    <row r="615" spans="1:9" ht="12.75" x14ac:dyDescent="0.2">
      <c r="A615" s="3">
        <v>45930</v>
      </c>
      <c r="B615" s="1" t="str">
        <f t="shared" si="16"/>
        <v>30/09/25 Martes</v>
      </c>
      <c r="C615" s="1" t="s">
        <v>15</v>
      </c>
      <c r="D615" s="1">
        <v>737</v>
      </c>
      <c r="E615" s="2">
        <v>809</v>
      </c>
      <c r="F615" s="2">
        <v>566</v>
      </c>
      <c r="G615" s="2">
        <v>243</v>
      </c>
      <c r="H615" s="1">
        <v>508</v>
      </c>
      <c r="I615" s="2">
        <v>58</v>
      </c>
    </row>
    <row r="616" spans="1:9" ht="12.75" x14ac:dyDescent="0.2">
      <c r="A616" s="3">
        <v>45931</v>
      </c>
      <c r="B616" s="1" t="str">
        <f t="shared" si="16"/>
        <v>01/10/25 Miércoles</v>
      </c>
      <c r="C616" s="1" t="s">
        <v>8</v>
      </c>
      <c r="D616" s="1">
        <v>697</v>
      </c>
      <c r="E616" s="2">
        <v>98</v>
      </c>
      <c r="F616" s="2">
        <v>32</v>
      </c>
      <c r="G616" s="2">
        <v>66</v>
      </c>
      <c r="H616" s="1">
        <v>32</v>
      </c>
      <c r="I616" s="2">
        <v>0</v>
      </c>
    </row>
    <row r="617" spans="1:9" ht="12.75" x14ac:dyDescent="0.2">
      <c r="A617" s="3">
        <v>45931</v>
      </c>
      <c r="B617" s="1" t="str">
        <f t="shared" si="16"/>
        <v>01/10/25 Miércoles</v>
      </c>
      <c r="C617" s="1" t="s">
        <v>9</v>
      </c>
      <c r="D617" s="1">
        <v>48</v>
      </c>
      <c r="E617" s="2">
        <v>74</v>
      </c>
      <c r="F617" s="2">
        <v>0</v>
      </c>
      <c r="G617" s="2">
        <v>74</v>
      </c>
      <c r="H617" s="1">
        <v>0</v>
      </c>
      <c r="I617" s="2">
        <v>0</v>
      </c>
    </row>
    <row r="618" spans="1:9" ht="12.75" x14ac:dyDescent="0.2">
      <c r="A618" s="3">
        <v>45931</v>
      </c>
      <c r="B618" s="1" t="str">
        <f t="shared" si="16"/>
        <v>01/10/25 Miércoles</v>
      </c>
      <c r="C618" s="1" t="s">
        <v>10</v>
      </c>
      <c r="D618" s="1">
        <v>697</v>
      </c>
      <c r="E618" s="2">
        <v>909</v>
      </c>
      <c r="F618" s="2">
        <v>436</v>
      </c>
      <c r="G618" s="2">
        <v>473</v>
      </c>
      <c r="H618" s="1">
        <v>425</v>
      </c>
      <c r="I618" s="2">
        <v>11</v>
      </c>
    </row>
    <row r="619" spans="1:9" ht="12.75" x14ac:dyDescent="0.2">
      <c r="A619" s="3">
        <v>45931</v>
      </c>
      <c r="B619" s="1" t="str">
        <f t="shared" si="16"/>
        <v>01/10/25 Miércoles</v>
      </c>
      <c r="C619" s="1" t="s">
        <v>11</v>
      </c>
      <c r="D619" s="1">
        <v>832</v>
      </c>
      <c r="E619" s="2">
        <v>740</v>
      </c>
      <c r="F619" s="2">
        <v>619</v>
      </c>
      <c r="G619" s="2">
        <v>121</v>
      </c>
      <c r="H619" s="1">
        <v>608</v>
      </c>
      <c r="I619" s="2">
        <v>11</v>
      </c>
    </row>
    <row r="620" spans="1:9" ht="12.75" x14ac:dyDescent="0.2">
      <c r="A620" s="3">
        <v>45931</v>
      </c>
      <c r="B620" s="1" t="str">
        <f t="shared" si="16"/>
        <v>01/10/25 Miércoles</v>
      </c>
      <c r="C620" s="1" t="s">
        <v>12</v>
      </c>
      <c r="D620" s="1">
        <v>352</v>
      </c>
      <c r="E620" s="2">
        <v>1197</v>
      </c>
      <c r="F620" s="2">
        <v>381</v>
      </c>
      <c r="G620" s="2">
        <v>816</v>
      </c>
      <c r="H620" s="1">
        <v>328</v>
      </c>
      <c r="I620" s="2">
        <v>53</v>
      </c>
    </row>
    <row r="621" spans="1:9" ht="12.75" x14ac:dyDescent="0.2">
      <c r="A621" s="3">
        <v>45931</v>
      </c>
      <c r="B621" s="1" t="str">
        <f t="shared" si="16"/>
        <v>01/10/25 Miércoles</v>
      </c>
      <c r="C621" s="1" t="s">
        <v>13</v>
      </c>
      <c r="D621" s="1">
        <v>890</v>
      </c>
      <c r="E621" s="2">
        <v>1273</v>
      </c>
      <c r="F621" s="2">
        <v>488</v>
      </c>
      <c r="G621" s="2">
        <v>785</v>
      </c>
      <c r="H621" s="1">
        <v>471</v>
      </c>
      <c r="I621" s="2">
        <v>17</v>
      </c>
    </row>
    <row r="622" spans="1:9" ht="12.75" x14ac:dyDescent="0.2">
      <c r="A622" s="3">
        <v>45931</v>
      </c>
      <c r="B622" s="1" t="str">
        <f t="shared" si="16"/>
        <v>01/10/25 Miércoles</v>
      </c>
      <c r="C622" s="1" t="s">
        <v>14</v>
      </c>
      <c r="D622" s="1">
        <v>1099</v>
      </c>
      <c r="E622" s="2">
        <v>1024</v>
      </c>
      <c r="F622" s="2">
        <v>324</v>
      </c>
      <c r="G622" s="2">
        <v>700</v>
      </c>
      <c r="H622" s="1">
        <v>278</v>
      </c>
      <c r="I622" s="2">
        <v>46</v>
      </c>
    </row>
    <row r="623" spans="1:9" ht="12.75" x14ac:dyDescent="0.2">
      <c r="A623" s="3">
        <v>45931</v>
      </c>
      <c r="B623" s="1" t="str">
        <f t="shared" si="16"/>
        <v>01/10/25 Miércoles</v>
      </c>
      <c r="C623" s="1" t="s">
        <v>15</v>
      </c>
      <c r="D623" s="1">
        <v>663</v>
      </c>
      <c r="E623" s="2">
        <v>0</v>
      </c>
      <c r="F623" s="2">
        <v>0</v>
      </c>
      <c r="G623" s="2">
        <v>0</v>
      </c>
      <c r="H623" s="1">
        <v>0</v>
      </c>
      <c r="I623" s="2">
        <v>0</v>
      </c>
    </row>
    <row r="624" spans="1:9" ht="12.75" x14ac:dyDescent="0.2">
      <c r="A624" s="3">
        <v>45932</v>
      </c>
      <c r="B624" s="1" t="str">
        <f t="shared" si="16"/>
        <v>02/10/25 Jueves</v>
      </c>
      <c r="C624" s="1" t="s">
        <v>8</v>
      </c>
      <c r="D624" s="1">
        <v>690</v>
      </c>
      <c r="E624" s="2">
        <v>1043</v>
      </c>
      <c r="F624" s="2">
        <v>784</v>
      </c>
      <c r="G624" s="2">
        <v>259</v>
      </c>
      <c r="H624" s="1">
        <v>721</v>
      </c>
      <c r="I624" s="2">
        <v>63</v>
      </c>
    </row>
    <row r="625" spans="1:9" ht="12.75" x14ac:dyDescent="0.2">
      <c r="A625" s="3">
        <v>45932</v>
      </c>
      <c r="B625" s="1" t="str">
        <f t="shared" si="16"/>
        <v>02/10/25 Jueves</v>
      </c>
      <c r="C625" s="1" t="s">
        <v>9</v>
      </c>
      <c r="D625" s="1">
        <v>253</v>
      </c>
      <c r="E625" s="2">
        <v>183</v>
      </c>
      <c r="F625" s="2">
        <v>139</v>
      </c>
      <c r="G625" s="2">
        <v>44</v>
      </c>
      <c r="H625" s="1">
        <v>137</v>
      </c>
      <c r="I625" s="2">
        <v>2</v>
      </c>
    </row>
    <row r="626" spans="1:9" ht="12.75" x14ac:dyDescent="0.2">
      <c r="A626" s="3">
        <v>45932</v>
      </c>
      <c r="B626" s="1" t="str">
        <f t="shared" si="16"/>
        <v>02/10/25 Jueves</v>
      </c>
      <c r="C626" s="1" t="s">
        <v>10</v>
      </c>
      <c r="D626" s="1">
        <v>945</v>
      </c>
      <c r="E626" s="2">
        <v>664</v>
      </c>
      <c r="F626" s="2">
        <v>484</v>
      </c>
      <c r="G626" s="2">
        <v>180</v>
      </c>
      <c r="H626" s="1">
        <v>468</v>
      </c>
      <c r="I626" s="2">
        <v>16</v>
      </c>
    </row>
    <row r="627" spans="1:9" ht="12.75" x14ac:dyDescent="0.2">
      <c r="A627" s="3">
        <v>45932</v>
      </c>
      <c r="B627" s="1" t="str">
        <f t="shared" si="16"/>
        <v>02/10/25 Jueves</v>
      </c>
      <c r="C627" s="1" t="s">
        <v>11</v>
      </c>
      <c r="D627" s="1">
        <v>951</v>
      </c>
      <c r="E627" s="2">
        <v>1167</v>
      </c>
      <c r="F627" s="2">
        <v>1120</v>
      </c>
      <c r="G627" s="2">
        <v>47</v>
      </c>
      <c r="H627" s="1">
        <v>1104</v>
      </c>
      <c r="I627" s="2">
        <v>16</v>
      </c>
    </row>
    <row r="628" spans="1:9" ht="12.75" x14ac:dyDescent="0.2">
      <c r="A628" s="3">
        <v>45932</v>
      </c>
      <c r="B628" s="1" t="str">
        <f t="shared" si="16"/>
        <v>02/10/25 Jueves</v>
      </c>
      <c r="C628" s="1" t="s">
        <v>12</v>
      </c>
      <c r="D628" s="1">
        <v>1035</v>
      </c>
      <c r="E628" s="2">
        <v>511</v>
      </c>
      <c r="F628" s="2">
        <v>353</v>
      </c>
      <c r="G628" s="2">
        <v>158</v>
      </c>
      <c r="H628" s="1">
        <v>321</v>
      </c>
      <c r="I628" s="2">
        <v>32</v>
      </c>
    </row>
    <row r="629" spans="1:9" ht="12.75" x14ac:dyDescent="0.2">
      <c r="A629" s="3">
        <v>45932</v>
      </c>
      <c r="B629" s="1" t="str">
        <f t="shared" si="16"/>
        <v>02/10/25 Jueves</v>
      </c>
      <c r="C629" s="1" t="s">
        <v>13</v>
      </c>
      <c r="D629" s="1">
        <v>510</v>
      </c>
      <c r="E629" s="2">
        <v>400</v>
      </c>
      <c r="F629" s="2">
        <v>368</v>
      </c>
      <c r="G629" s="2">
        <v>32</v>
      </c>
      <c r="H629" s="1">
        <v>330</v>
      </c>
      <c r="I629" s="2">
        <v>38</v>
      </c>
    </row>
    <row r="630" spans="1:9" ht="12.75" x14ac:dyDescent="0.2">
      <c r="A630" s="3">
        <v>45932</v>
      </c>
      <c r="B630" s="1" t="str">
        <f t="shared" si="16"/>
        <v>02/10/25 Jueves</v>
      </c>
      <c r="C630" s="1" t="s">
        <v>14</v>
      </c>
      <c r="D630" s="1">
        <v>286</v>
      </c>
      <c r="E630" s="2">
        <v>506</v>
      </c>
      <c r="F630" s="2">
        <v>273</v>
      </c>
      <c r="G630" s="2">
        <v>233</v>
      </c>
      <c r="H630" s="1">
        <v>245</v>
      </c>
      <c r="I630" s="2">
        <v>28</v>
      </c>
    </row>
    <row r="631" spans="1:9" ht="12.75" x14ac:dyDescent="0.2">
      <c r="A631" s="3">
        <v>45932</v>
      </c>
      <c r="B631" s="1" t="str">
        <f t="shared" si="16"/>
        <v>02/10/25 Jueves</v>
      </c>
      <c r="C631" s="1" t="s">
        <v>15</v>
      </c>
      <c r="D631" s="1">
        <v>737</v>
      </c>
      <c r="E631" s="2">
        <v>1148</v>
      </c>
      <c r="F631" s="2">
        <v>736</v>
      </c>
      <c r="G631" s="2">
        <v>412</v>
      </c>
      <c r="H631" s="1">
        <v>669</v>
      </c>
      <c r="I631" s="2">
        <v>67</v>
      </c>
    </row>
    <row r="632" spans="1:9" ht="12.75" x14ac:dyDescent="0.2">
      <c r="A632" s="3">
        <v>45933</v>
      </c>
      <c r="B632" s="1" t="str">
        <f t="shared" si="16"/>
        <v>03/10/25 Viernes</v>
      </c>
      <c r="C632" s="1" t="s">
        <v>8</v>
      </c>
      <c r="D632" s="1">
        <v>697</v>
      </c>
      <c r="E632" s="2">
        <v>542</v>
      </c>
      <c r="F632" s="2">
        <v>362</v>
      </c>
      <c r="G632" s="2">
        <v>180</v>
      </c>
      <c r="H632" s="1">
        <v>330</v>
      </c>
      <c r="I632" s="2">
        <v>32</v>
      </c>
    </row>
    <row r="633" spans="1:9" ht="12.75" x14ac:dyDescent="0.2">
      <c r="A633" s="3">
        <v>45933</v>
      </c>
      <c r="B633" s="1" t="str">
        <f t="shared" si="16"/>
        <v>03/10/25 Viernes</v>
      </c>
      <c r="C633" s="1" t="s">
        <v>9</v>
      </c>
      <c r="D633" s="1">
        <v>48</v>
      </c>
      <c r="E633" s="2">
        <v>192</v>
      </c>
      <c r="F633" s="2">
        <v>140</v>
      </c>
      <c r="G633" s="2">
        <v>52</v>
      </c>
      <c r="H633" s="1">
        <v>135</v>
      </c>
      <c r="I633" s="2">
        <v>5</v>
      </c>
    </row>
    <row r="634" spans="1:9" ht="12.75" x14ac:dyDescent="0.2">
      <c r="A634" s="3">
        <v>45933</v>
      </c>
      <c r="B634" s="1" t="str">
        <f t="shared" si="16"/>
        <v>03/10/25 Viernes</v>
      </c>
      <c r="C634" s="1" t="s">
        <v>10</v>
      </c>
      <c r="D634" s="1">
        <v>697</v>
      </c>
      <c r="E634" s="2">
        <v>1001</v>
      </c>
      <c r="F634" s="2">
        <v>777</v>
      </c>
      <c r="G634" s="2">
        <v>224</v>
      </c>
      <c r="H634" s="1">
        <v>766</v>
      </c>
      <c r="I634" s="2">
        <v>11</v>
      </c>
    </row>
    <row r="635" spans="1:9" ht="12.75" x14ac:dyDescent="0.2">
      <c r="A635" s="3">
        <v>45933</v>
      </c>
      <c r="B635" s="1" t="str">
        <f t="shared" si="16"/>
        <v>03/10/25 Viernes</v>
      </c>
      <c r="C635" s="1" t="s">
        <v>11</v>
      </c>
      <c r="D635" s="1">
        <v>832</v>
      </c>
      <c r="E635" s="2">
        <v>709</v>
      </c>
      <c r="F635" s="2">
        <v>709</v>
      </c>
      <c r="G635" s="2">
        <v>0</v>
      </c>
      <c r="H635" s="1">
        <v>694</v>
      </c>
      <c r="I635" s="2">
        <v>15</v>
      </c>
    </row>
    <row r="636" spans="1:9" ht="12.75" x14ac:dyDescent="0.2">
      <c r="A636" s="3">
        <v>45933</v>
      </c>
      <c r="B636" s="1" t="str">
        <f t="shared" si="16"/>
        <v>03/10/25 Viernes</v>
      </c>
      <c r="C636" s="1" t="s">
        <v>12</v>
      </c>
      <c r="D636" s="1">
        <v>352</v>
      </c>
      <c r="E636" s="2">
        <v>924</v>
      </c>
      <c r="F636" s="2">
        <v>570</v>
      </c>
      <c r="G636" s="2">
        <v>354</v>
      </c>
      <c r="H636" s="1">
        <v>494</v>
      </c>
      <c r="I636" s="2">
        <v>76</v>
      </c>
    </row>
    <row r="637" spans="1:9" ht="12.75" x14ac:dyDescent="0.2">
      <c r="A637" s="3">
        <v>45933</v>
      </c>
      <c r="B637" s="1" t="str">
        <f t="shared" si="16"/>
        <v>03/10/25 Viernes</v>
      </c>
      <c r="C637" s="1" t="s">
        <v>13</v>
      </c>
      <c r="D637" s="1">
        <v>896</v>
      </c>
      <c r="E637" s="2">
        <v>1046</v>
      </c>
      <c r="F637" s="2">
        <v>734</v>
      </c>
      <c r="G637" s="2">
        <v>312</v>
      </c>
      <c r="H637" s="1">
        <v>715</v>
      </c>
      <c r="I637" s="2">
        <v>19</v>
      </c>
    </row>
    <row r="638" spans="1:9" ht="12.75" x14ac:dyDescent="0.2">
      <c r="A638" s="3">
        <v>45933</v>
      </c>
      <c r="B638" s="1" t="str">
        <f t="shared" si="16"/>
        <v>03/10/25 Viernes</v>
      </c>
      <c r="C638" s="1" t="s">
        <v>14</v>
      </c>
      <c r="D638" s="1">
        <v>1099</v>
      </c>
      <c r="E638" s="2">
        <v>941</v>
      </c>
      <c r="F638" s="2">
        <v>726</v>
      </c>
      <c r="G638" s="2">
        <v>215</v>
      </c>
      <c r="H638" s="1">
        <v>663</v>
      </c>
      <c r="I638" s="2">
        <v>63</v>
      </c>
    </row>
    <row r="639" spans="1:9" ht="12.75" x14ac:dyDescent="0.2">
      <c r="A639" s="3">
        <v>45933</v>
      </c>
      <c r="B639" s="1" t="str">
        <f t="shared" si="16"/>
        <v>03/10/25 Viernes</v>
      </c>
      <c r="C639" s="1" t="s">
        <v>15</v>
      </c>
      <c r="D639" s="1">
        <v>663</v>
      </c>
      <c r="E639" s="2">
        <v>1053</v>
      </c>
      <c r="F639" s="2">
        <v>612</v>
      </c>
      <c r="G639" s="2">
        <v>441</v>
      </c>
      <c r="H639" s="1">
        <v>559</v>
      </c>
      <c r="I639" s="2">
        <v>53</v>
      </c>
    </row>
    <row r="640" spans="1:9" ht="12.75" x14ac:dyDescent="0.2">
      <c r="A640" s="3">
        <v>45934</v>
      </c>
      <c r="B640" s="1" t="str">
        <f t="shared" si="16"/>
        <v>04/10/25 Sábado</v>
      </c>
      <c r="C640" s="1" t="s">
        <v>8</v>
      </c>
      <c r="D640" s="1">
        <v>690</v>
      </c>
      <c r="E640" s="2">
        <v>953</v>
      </c>
      <c r="F640" s="2">
        <v>767</v>
      </c>
      <c r="G640" s="2">
        <v>186</v>
      </c>
      <c r="H640" s="1">
        <v>702</v>
      </c>
      <c r="I640" s="2">
        <v>65</v>
      </c>
    </row>
    <row r="641" spans="1:9" ht="12.75" x14ac:dyDescent="0.2">
      <c r="A641" s="3">
        <v>45934</v>
      </c>
      <c r="B641" s="1" t="str">
        <f t="shared" si="16"/>
        <v>04/10/25 Sábado</v>
      </c>
      <c r="C641" s="1" t="s">
        <v>9</v>
      </c>
      <c r="D641" s="1">
        <v>0</v>
      </c>
      <c r="E641" s="2">
        <v>55</v>
      </c>
      <c r="F641" s="2">
        <v>55</v>
      </c>
      <c r="G641" s="2">
        <v>0</v>
      </c>
      <c r="H641" s="1">
        <v>54</v>
      </c>
      <c r="I641" s="2">
        <v>1</v>
      </c>
    </row>
    <row r="642" spans="1:9" ht="12.75" x14ac:dyDescent="0.2">
      <c r="A642" s="3">
        <v>45934</v>
      </c>
      <c r="B642" s="1" t="str">
        <f t="shared" si="16"/>
        <v>04/10/25 Sábado</v>
      </c>
      <c r="C642" s="1" t="s">
        <v>10</v>
      </c>
      <c r="D642" s="1">
        <v>0</v>
      </c>
      <c r="E642" s="2">
        <v>151</v>
      </c>
      <c r="F642" s="2">
        <v>73</v>
      </c>
      <c r="G642" s="2">
        <v>78</v>
      </c>
      <c r="H642" s="1">
        <v>73</v>
      </c>
      <c r="I642" s="2">
        <v>0</v>
      </c>
    </row>
    <row r="643" spans="1:9" ht="12.75" x14ac:dyDescent="0.2">
      <c r="A643" s="3">
        <v>45934</v>
      </c>
      <c r="B643" s="1" t="str">
        <f t="shared" ref="B643:B706" si="17">PROPER(TEXT(A643,"[$-es-ES]dd/mm/yy dddd"))</f>
        <v>04/10/25 Sábado</v>
      </c>
      <c r="C643" s="1" t="s">
        <v>11</v>
      </c>
      <c r="D643" s="1">
        <v>0</v>
      </c>
      <c r="E643" s="2">
        <v>0</v>
      </c>
      <c r="F643" s="2">
        <v>0</v>
      </c>
      <c r="G643" s="2">
        <v>0</v>
      </c>
      <c r="H643" s="1">
        <v>0</v>
      </c>
      <c r="I643" s="2">
        <v>0</v>
      </c>
    </row>
    <row r="644" spans="1:9" ht="12.75" x14ac:dyDescent="0.2">
      <c r="A644" s="3">
        <v>45934</v>
      </c>
      <c r="B644" s="1" t="str">
        <f t="shared" si="17"/>
        <v>04/10/25 Sábado</v>
      </c>
      <c r="C644" s="1" t="s">
        <v>12</v>
      </c>
      <c r="D644" s="1">
        <v>935</v>
      </c>
      <c r="E644" s="2">
        <v>750</v>
      </c>
      <c r="F644" s="2">
        <v>519</v>
      </c>
      <c r="G644" s="2">
        <v>231</v>
      </c>
      <c r="H644" s="1">
        <v>457</v>
      </c>
      <c r="I644" s="2">
        <v>62</v>
      </c>
    </row>
    <row r="645" spans="1:9" ht="12.75" x14ac:dyDescent="0.2">
      <c r="A645" s="3">
        <v>45934</v>
      </c>
      <c r="B645" s="1" t="str">
        <f t="shared" si="17"/>
        <v>04/10/25 Sábado</v>
      </c>
      <c r="C645" s="1" t="s">
        <v>13</v>
      </c>
      <c r="D645" s="1">
        <v>288</v>
      </c>
      <c r="E645" s="2">
        <v>374</v>
      </c>
      <c r="F645" s="2">
        <v>304</v>
      </c>
      <c r="G645" s="2">
        <v>70</v>
      </c>
      <c r="H645" s="1">
        <v>285</v>
      </c>
      <c r="I645" s="2">
        <v>19</v>
      </c>
    </row>
    <row r="646" spans="1:9" ht="12.75" x14ac:dyDescent="0.2">
      <c r="A646" s="3">
        <v>45934</v>
      </c>
      <c r="B646" s="1" t="str">
        <f t="shared" si="17"/>
        <v>04/10/25 Sábado</v>
      </c>
      <c r="C646" s="1" t="s">
        <v>14</v>
      </c>
      <c r="D646" s="1">
        <v>286</v>
      </c>
      <c r="E646" s="2">
        <v>402</v>
      </c>
      <c r="F646" s="2">
        <v>167</v>
      </c>
      <c r="G646" s="2">
        <v>235</v>
      </c>
      <c r="H646" s="1">
        <v>146</v>
      </c>
      <c r="I646" s="2">
        <v>21</v>
      </c>
    </row>
    <row r="647" spans="1:9" ht="12.75" x14ac:dyDescent="0.2">
      <c r="A647" s="3">
        <v>45934</v>
      </c>
      <c r="B647" s="1" t="str">
        <f t="shared" si="17"/>
        <v>04/10/25 Sábado</v>
      </c>
      <c r="C647" s="1" t="s">
        <v>15</v>
      </c>
      <c r="D647" s="1">
        <v>737</v>
      </c>
      <c r="E647" s="2">
        <v>396</v>
      </c>
      <c r="F647" s="2">
        <v>201</v>
      </c>
      <c r="G647" s="2">
        <v>195</v>
      </c>
      <c r="H647" s="1">
        <v>186</v>
      </c>
      <c r="I647" s="2">
        <v>15</v>
      </c>
    </row>
    <row r="648" spans="1:9" ht="12.75" x14ac:dyDescent="0.2">
      <c r="A648" s="3">
        <v>45935</v>
      </c>
      <c r="B648" s="1" t="str">
        <f t="shared" si="17"/>
        <v>05/10/25 Domingo</v>
      </c>
      <c r="C648" s="1" t="s">
        <v>8</v>
      </c>
      <c r="D648" s="1">
        <v>141</v>
      </c>
      <c r="E648" s="2">
        <v>368</v>
      </c>
      <c r="F648" s="2">
        <v>264</v>
      </c>
      <c r="G648" s="2">
        <v>104</v>
      </c>
      <c r="H648" s="1">
        <v>236</v>
      </c>
      <c r="I648" s="2">
        <v>28</v>
      </c>
    </row>
    <row r="649" spans="1:9" ht="12.75" x14ac:dyDescent="0.2">
      <c r="A649" s="3">
        <v>45935</v>
      </c>
      <c r="B649" s="1" t="str">
        <f t="shared" si="17"/>
        <v>05/10/25 Domingo</v>
      </c>
      <c r="C649" s="1" t="s">
        <v>9</v>
      </c>
      <c r="D649" s="1">
        <v>301</v>
      </c>
      <c r="E649" s="2">
        <v>50</v>
      </c>
      <c r="F649" s="2">
        <v>50</v>
      </c>
      <c r="G649" s="2">
        <v>0</v>
      </c>
      <c r="H649" s="1">
        <v>49</v>
      </c>
      <c r="I649" s="2">
        <v>1</v>
      </c>
    </row>
    <row r="650" spans="1:9" ht="12.75" x14ac:dyDescent="0.2">
      <c r="A650" s="3">
        <v>45935</v>
      </c>
      <c r="B650" s="1" t="str">
        <f t="shared" si="17"/>
        <v>05/10/25 Domingo</v>
      </c>
      <c r="C650" s="1" t="s">
        <v>10</v>
      </c>
      <c r="D650" s="1">
        <v>945</v>
      </c>
      <c r="E650" s="2">
        <v>1050</v>
      </c>
      <c r="F650" s="2">
        <v>599</v>
      </c>
      <c r="G650" s="2">
        <v>451</v>
      </c>
      <c r="H650" s="1">
        <v>583</v>
      </c>
      <c r="I650" s="2">
        <v>16</v>
      </c>
    </row>
    <row r="651" spans="1:9" ht="12.75" x14ac:dyDescent="0.2">
      <c r="A651" s="3">
        <v>45935</v>
      </c>
      <c r="B651" s="1" t="str">
        <f t="shared" si="17"/>
        <v>05/10/25 Domingo</v>
      </c>
      <c r="C651" s="1" t="s">
        <v>11</v>
      </c>
      <c r="D651" s="1">
        <v>1783</v>
      </c>
      <c r="E651" s="2">
        <v>1164</v>
      </c>
      <c r="F651" s="2">
        <v>1068</v>
      </c>
      <c r="G651" s="2">
        <v>96</v>
      </c>
      <c r="H651" s="1">
        <v>1054</v>
      </c>
      <c r="I651" s="2">
        <v>14</v>
      </c>
    </row>
    <row r="652" spans="1:9" ht="12.75" x14ac:dyDescent="0.2">
      <c r="A652" s="3">
        <v>45935</v>
      </c>
      <c r="B652" s="1" t="str">
        <f t="shared" si="17"/>
        <v>05/10/25 Domingo</v>
      </c>
      <c r="C652" s="1" t="s">
        <v>12</v>
      </c>
      <c r="D652" s="1">
        <v>452</v>
      </c>
      <c r="E652" s="2">
        <v>406</v>
      </c>
      <c r="F652" s="2">
        <v>335</v>
      </c>
      <c r="G652" s="2">
        <v>71</v>
      </c>
      <c r="H652" s="1">
        <v>300</v>
      </c>
      <c r="I652" s="2">
        <v>35</v>
      </c>
    </row>
    <row r="653" spans="1:9" ht="12.75" x14ac:dyDescent="0.2">
      <c r="A653" s="3">
        <v>45935</v>
      </c>
      <c r="B653" s="1" t="str">
        <f t="shared" si="17"/>
        <v>05/10/25 Domingo</v>
      </c>
      <c r="C653" s="1" t="s">
        <v>13</v>
      </c>
      <c r="D653" s="1">
        <v>444</v>
      </c>
      <c r="E653" s="2">
        <v>637</v>
      </c>
      <c r="F653" s="2">
        <v>430</v>
      </c>
      <c r="G653" s="2">
        <v>207</v>
      </c>
      <c r="H653" s="1">
        <v>413</v>
      </c>
      <c r="I653" s="2">
        <v>17</v>
      </c>
    </row>
    <row r="654" spans="1:9" ht="12.75" x14ac:dyDescent="0.2">
      <c r="A654" s="3">
        <v>45935</v>
      </c>
      <c r="B654" s="1" t="str">
        <f t="shared" si="17"/>
        <v>05/10/25 Domingo</v>
      </c>
      <c r="C654" s="1" t="s">
        <v>14</v>
      </c>
      <c r="D654" s="1">
        <v>0</v>
      </c>
      <c r="E654" s="2">
        <v>488</v>
      </c>
      <c r="F654" s="2">
        <v>250</v>
      </c>
      <c r="G654" s="2">
        <v>238</v>
      </c>
      <c r="H654" s="1">
        <v>218</v>
      </c>
      <c r="I654" s="2">
        <v>32</v>
      </c>
    </row>
    <row r="655" spans="1:9" ht="12.75" x14ac:dyDescent="0.2">
      <c r="A655" s="3">
        <v>45935</v>
      </c>
      <c r="B655" s="1" t="str">
        <f t="shared" si="17"/>
        <v>05/10/25 Domingo</v>
      </c>
      <c r="C655" s="1" t="s">
        <v>15</v>
      </c>
      <c r="D655" s="1">
        <v>0</v>
      </c>
      <c r="E655" s="2">
        <v>110</v>
      </c>
      <c r="F655" s="2">
        <v>110</v>
      </c>
      <c r="G655" s="2">
        <v>0</v>
      </c>
      <c r="H655" s="1">
        <v>103</v>
      </c>
      <c r="I655" s="2">
        <v>7</v>
      </c>
    </row>
    <row r="656" spans="1:9" ht="12.75" x14ac:dyDescent="0.2">
      <c r="A656" s="3">
        <v>45936</v>
      </c>
      <c r="B656" s="1" t="str">
        <f t="shared" si="17"/>
        <v>06/10/25 Lunes</v>
      </c>
      <c r="C656" s="1" t="s">
        <v>8</v>
      </c>
      <c r="D656" s="1">
        <v>694</v>
      </c>
      <c r="E656" s="2">
        <v>752</v>
      </c>
      <c r="F656" s="2">
        <v>185</v>
      </c>
      <c r="G656" s="2">
        <v>567</v>
      </c>
      <c r="H656" s="1">
        <v>170</v>
      </c>
      <c r="I656" s="2">
        <v>15</v>
      </c>
    </row>
    <row r="657" spans="1:9" ht="12.75" x14ac:dyDescent="0.2">
      <c r="A657" s="3">
        <v>45936</v>
      </c>
      <c r="B657" s="1" t="str">
        <f t="shared" si="17"/>
        <v>06/10/25 Lunes</v>
      </c>
      <c r="C657" s="1" t="s">
        <v>9</v>
      </c>
      <c r="D657" s="1">
        <v>48</v>
      </c>
      <c r="E657" s="2">
        <v>253</v>
      </c>
      <c r="F657" s="2">
        <v>200</v>
      </c>
      <c r="G657" s="2">
        <v>53</v>
      </c>
      <c r="H657" s="1">
        <v>198</v>
      </c>
      <c r="I657" s="2">
        <v>2</v>
      </c>
    </row>
    <row r="658" spans="1:9" ht="12.75" x14ac:dyDescent="0.2">
      <c r="A658" s="3">
        <v>45936</v>
      </c>
      <c r="B658" s="1" t="str">
        <f t="shared" si="17"/>
        <v>06/10/25 Lunes</v>
      </c>
      <c r="C658" s="1" t="s">
        <v>10</v>
      </c>
      <c r="D658" s="1">
        <v>697</v>
      </c>
      <c r="E658" s="2">
        <v>970</v>
      </c>
      <c r="F658" s="2">
        <v>733</v>
      </c>
      <c r="G658" s="2">
        <v>237</v>
      </c>
      <c r="H658" s="1">
        <v>721</v>
      </c>
      <c r="I658" s="2">
        <v>12</v>
      </c>
    </row>
    <row r="659" spans="1:9" ht="12.75" x14ac:dyDescent="0.2">
      <c r="A659" s="3">
        <v>45936</v>
      </c>
      <c r="B659" s="1" t="str">
        <f t="shared" si="17"/>
        <v>06/10/25 Lunes</v>
      </c>
      <c r="C659" s="1" t="s">
        <v>11</v>
      </c>
      <c r="D659" s="1">
        <v>951</v>
      </c>
      <c r="E659" s="2">
        <v>771</v>
      </c>
      <c r="F659" s="2">
        <v>714</v>
      </c>
      <c r="G659" s="2">
        <v>57</v>
      </c>
      <c r="H659" s="1">
        <v>705</v>
      </c>
      <c r="I659" s="2">
        <v>9</v>
      </c>
    </row>
    <row r="660" spans="1:9" ht="12.75" x14ac:dyDescent="0.2">
      <c r="A660" s="3">
        <v>45936</v>
      </c>
      <c r="B660" s="1" t="str">
        <f t="shared" si="17"/>
        <v>06/10/25 Lunes</v>
      </c>
      <c r="C660" s="1" t="s">
        <v>12</v>
      </c>
      <c r="D660" s="1">
        <v>452</v>
      </c>
      <c r="E660" s="2">
        <v>434</v>
      </c>
      <c r="F660" s="2">
        <v>179</v>
      </c>
      <c r="G660" s="2">
        <v>255</v>
      </c>
      <c r="H660" s="1">
        <v>162</v>
      </c>
      <c r="I660" s="2">
        <v>17</v>
      </c>
    </row>
    <row r="661" spans="1:9" ht="12.75" x14ac:dyDescent="0.2">
      <c r="A661" s="3">
        <v>45936</v>
      </c>
      <c r="B661" s="1" t="str">
        <f t="shared" si="17"/>
        <v>06/10/25 Lunes</v>
      </c>
      <c r="C661" s="1" t="s">
        <v>13</v>
      </c>
      <c r="D661" s="1">
        <v>896</v>
      </c>
      <c r="E661" s="2">
        <v>803</v>
      </c>
      <c r="F661" s="2">
        <v>484</v>
      </c>
      <c r="G661" s="2">
        <v>319</v>
      </c>
      <c r="H661" s="1">
        <v>464</v>
      </c>
      <c r="I661" s="2">
        <v>20</v>
      </c>
    </row>
    <row r="662" spans="1:9" ht="12.75" x14ac:dyDescent="0.2">
      <c r="A662" s="3">
        <v>45936</v>
      </c>
      <c r="B662" s="1" t="str">
        <f t="shared" si="17"/>
        <v>06/10/25 Lunes</v>
      </c>
      <c r="C662" s="1" t="s">
        <v>14</v>
      </c>
      <c r="D662" s="1">
        <v>1099</v>
      </c>
      <c r="E662" s="2">
        <v>1125</v>
      </c>
      <c r="F662" s="2">
        <v>417</v>
      </c>
      <c r="G662" s="2">
        <v>708</v>
      </c>
      <c r="H662" s="1">
        <v>375</v>
      </c>
      <c r="I662" s="2">
        <v>42</v>
      </c>
    </row>
    <row r="663" spans="1:9" ht="12.75" x14ac:dyDescent="0.2">
      <c r="A663" s="3">
        <v>45936</v>
      </c>
      <c r="B663" s="1" t="str">
        <f t="shared" si="17"/>
        <v>06/10/25 Lunes</v>
      </c>
      <c r="C663" s="1" t="s">
        <v>15</v>
      </c>
      <c r="D663" s="1">
        <v>663</v>
      </c>
      <c r="E663" s="2">
        <v>916</v>
      </c>
      <c r="F663" s="2">
        <v>569</v>
      </c>
      <c r="G663" s="2">
        <v>347</v>
      </c>
      <c r="H663" s="1">
        <v>516</v>
      </c>
      <c r="I663" s="2">
        <v>53</v>
      </c>
    </row>
    <row r="664" spans="1:9" ht="12.75" x14ac:dyDescent="0.2">
      <c r="A664" s="3">
        <v>45937</v>
      </c>
      <c r="B664" s="1" t="str">
        <f t="shared" si="17"/>
        <v>07/10/25 Martes</v>
      </c>
      <c r="C664" s="1" t="s">
        <v>8</v>
      </c>
      <c r="D664" s="1">
        <v>693</v>
      </c>
      <c r="E664" s="2">
        <v>506</v>
      </c>
      <c r="F664" s="2">
        <v>268</v>
      </c>
      <c r="G664" s="2">
        <v>238</v>
      </c>
      <c r="H664" s="1">
        <v>252</v>
      </c>
      <c r="I664" s="2">
        <v>16</v>
      </c>
    </row>
    <row r="665" spans="1:9" ht="12.75" x14ac:dyDescent="0.2">
      <c r="A665" s="3">
        <v>45937</v>
      </c>
      <c r="B665" s="1" t="str">
        <f t="shared" si="17"/>
        <v>07/10/25 Martes</v>
      </c>
      <c r="C665" s="1" t="s">
        <v>9</v>
      </c>
      <c r="D665" s="1">
        <v>253</v>
      </c>
      <c r="E665" s="2">
        <v>102</v>
      </c>
      <c r="F665" s="2">
        <v>68</v>
      </c>
      <c r="G665" s="2">
        <v>34</v>
      </c>
      <c r="H665" s="1">
        <v>67</v>
      </c>
      <c r="I665" s="2">
        <v>1</v>
      </c>
    </row>
    <row r="666" spans="1:9" ht="12.75" x14ac:dyDescent="0.2">
      <c r="A666" s="3">
        <v>45937</v>
      </c>
      <c r="B666" s="1" t="str">
        <f t="shared" si="17"/>
        <v>07/10/25 Martes</v>
      </c>
      <c r="C666" s="1" t="s">
        <v>10</v>
      </c>
      <c r="D666" s="1">
        <v>945</v>
      </c>
      <c r="E666" s="2">
        <v>608</v>
      </c>
      <c r="F666" s="2">
        <v>440</v>
      </c>
      <c r="G666" s="2">
        <v>168</v>
      </c>
      <c r="H666" s="1">
        <v>432</v>
      </c>
      <c r="I666" s="2">
        <v>8</v>
      </c>
    </row>
    <row r="667" spans="1:9" ht="12.75" x14ac:dyDescent="0.2">
      <c r="A667" s="3">
        <v>45937</v>
      </c>
      <c r="B667" s="1" t="str">
        <f t="shared" si="17"/>
        <v>07/10/25 Martes</v>
      </c>
      <c r="C667" s="1" t="s">
        <v>11</v>
      </c>
      <c r="D667" s="1">
        <v>832</v>
      </c>
      <c r="E667" s="2">
        <v>1129</v>
      </c>
      <c r="F667" s="2">
        <v>1105</v>
      </c>
      <c r="G667" s="2">
        <v>24</v>
      </c>
      <c r="H667" s="1">
        <v>1095</v>
      </c>
      <c r="I667" s="2">
        <v>10</v>
      </c>
    </row>
    <row r="668" spans="1:9" ht="12.75" x14ac:dyDescent="0.2">
      <c r="A668" s="3">
        <v>45937</v>
      </c>
      <c r="B668" s="1" t="str">
        <f t="shared" si="17"/>
        <v>07/10/25 Martes</v>
      </c>
      <c r="C668" s="1" t="s">
        <v>12</v>
      </c>
      <c r="D668" s="1">
        <v>935</v>
      </c>
      <c r="E668" s="2">
        <v>483</v>
      </c>
      <c r="F668" s="2">
        <v>324</v>
      </c>
      <c r="G668" s="2">
        <v>159</v>
      </c>
      <c r="H668" s="1">
        <v>270</v>
      </c>
      <c r="I668" s="2">
        <v>54</v>
      </c>
    </row>
    <row r="669" spans="1:9" ht="12.75" x14ac:dyDescent="0.2">
      <c r="A669" s="3">
        <v>45937</v>
      </c>
      <c r="B669" s="1" t="str">
        <f t="shared" si="17"/>
        <v>07/10/25 Martes</v>
      </c>
      <c r="C669" s="1" t="s">
        <v>13</v>
      </c>
      <c r="D669" s="1">
        <v>474</v>
      </c>
      <c r="E669" s="2">
        <v>619</v>
      </c>
      <c r="F669" s="2">
        <v>414</v>
      </c>
      <c r="G669" s="2">
        <v>205</v>
      </c>
      <c r="H669" s="1">
        <v>400</v>
      </c>
      <c r="I669" s="2">
        <v>14</v>
      </c>
    </row>
    <row r="670" spans="1:9" ht="12.75" x14ac:dyDescent="0.2">
      <c r="A670" s="3">
        <v>45937</v>
      </c>
      <c r="B670" s="1" t="str">
        <f t="shared" si="17"/>
        <v>07/10/25 Martes</v>
      </c>
      <c r="C670" s="1" t="s">
        <v>14</v>
      </c>
      <c r="D670" s="1">
        <v>286</v>
      </c>
      <c r="E670" s="2">
        <v>951</v>
      </c>
      <c r="F670" s="2">
        <v>493</v>
      </c>
      <c r="G670" s="2">
        <v>458</v>
      </c>
      <c r="H670" s="1">
        <v>454</v>
      </c>
      <c r="I670" s="2">
        <v>39</v>
      </c>
    </row>
    <row r="671" spans="1:9" ht="12.75" x14ac:dyDescent="0.2">
      <c r="A671" s="3">
        <v>45937</v>
      </c>
      <c r="B671" s="1" t="str">
        <f t="shared" si="17"/>
        <v>07/10/25 Martes</v>
      </c>
      <c r="C671" s="1" t="s">
        <v>15</v>
      </c>
      <c r="D671" s="1">
        <v>737</v>
      </c>
      <c r="E671" s="2">
        <v>768</v>
      </c>
      <c r="F671" s="2">
        <v>490</v>
      </c>
      <c r="G671" s="2">
        <v>278</v>
      </c>
      <c r="H671" s="1">
        <v>410</v>
      </c>
      <c r="I671" s="2">
        <v>80</v>
      </c>
    </row>
    <row r="672" spans="1:9" ht="12.75" x14ac:dyDescent="0.2">
      <c r="A672" s="3">
        <v>45938</v>
      </c>
      <c r="B672" s="1" t="str">
        <f t="shared" si="17"/>
        <v>08/10/25 Miércoles</v>
      </c>
      <c r="C672" s="1" t="s">
        <v>8</v>
      </c>
      <c r="D672" s="1">
        <v>694</v>
      </c>
      <c r="E672" s="2">
        <v>1316</v>
      </c>
      <c r="F672" s="2">
        <v>812</v>
      </c>
      <c r="G672" s="2">
        <v>504</v>
      </c>
      <c r="H672" s="1">
        <v>698</v>
      </c>
      <c r="I672" s="2">
        <v>114</v>
      </c>
    </row>
    <row r="673" spans="1:9" ht="12.75" x14ac:dyDescent="0.2">
      <c r="A673" s="3">
        <v>45938</v>
      </c>
      <c r="B673" s="1" t="str">
        <f t="shared" si="17"/>
        <v>08/10/25 Miércoles</v>
      </c>
      <c r="C673" s="1" t="s">
        <v>9</v>
      </c>
      <c r="D673" s="1">
        <v>48</v>
      </c>
      <c r="E673" s="2">
        <v>196</v>
      </c>
      <c r="F673" s="2">
        <v>196</v>
      </c>
      <c r="G673" s="2">
        <v>0</v>
      </c>
      <c r="H673" s="1">
        <v>194</v>
      </c>
      <c r="I673" s="2">
        <v>2</v>
      </c>
    </row>
    <row r="674" spans="1:9" ht="12.75" x14ac:dyDescent="0.2">
      <c r="A674" s="3">
        <v>45938</v>
      </c>
      <c r="B674" s="1" t="str">
        <f t="shared" si="17"/>
        <v>08/10/25 Miércoles</v>
      </c>
      <c r="C674" s="1" t="s">
        <v>10</v>
      </c>
      <c r="D674" s="1">
        <v>697</v>
      </c>
      <c r="E674" s="2">
        <v>994</v>
      </c>
      <c r="F674" s="2">
        <v>787</v>
      </c>
      <c r="G674" s="2">
        <v>207</v>
      </c>
      <c r="H674" s="1">
        <v>775</v>
      </c>
      <c r="I674" s="2">
        <v>12</v>
      </c>
    </row>
    <row r="675" spans="1:9" ht="12.75" x14ac:dyDescent="0.2">
      <c r="A675" s="3">
        <v>45938</v>
      </c>
      <c r="B675" s="1" t="str">
        <f t="shared" si="17"/>
        <v>08/10/25 Miércoles</v>
      </c>
      <c r="C675" s="1" t="s">
        <v>11</v>
      </c>
      <c r="D675" s="1">
        <v>951</v>
      </c>
      <c r="E675" s="2">
        <v>661</v>
      </c>
      <c r="F675" s="2">
        <v>661</v>
      </c>
      <c r="G675" s="2">
        <v>0</v>
      </c>
      <c r="H675" s="1">
        <v>649</v>
      </c>
      <c r="I675" s="2">
        <v>12</v>
      </c>
    </row>
    <row r="676" spans="1:9" ht="12.75" x14ac:dyDescent="0.2">
      <c r="A676" s="3">
        <v>45938</v>
      </c>
      <c r="B676" s="1" t="str">
        <f t="shared" si="17"/>
        <v>08/10/25 Miércoles</v>
      </c>
      <c r="C676" s="1" t="s">
        <v>12</v>
      </c>
      <c r="D676" s="1">
        <v>452</v>
      </c>
      <c r="E676" s="2">
        <v>1296</v>
      </c>
      <c r="F676" s="2">
        <v>883</v>
      </c>
      <c r="G676" s="2">
        <v>413</v>
      </c>
      <c r="H676" s="1">
        <v>793</v>
      </c>
      <c r="I676" s="2">
        <v>90</v>
      </c>
    </row>
    <row r="677" spans="1:9" ht="12.75" x14ac:dyDescent="0.2">
      <c r="A677" s="3">
        <v>45938</v>
      </c>
      <c r="B677" s="1" t="str">
        <f t="shared" si="17"/>
        <v>08/10/25 Miércoles</v>
      </c>
      <c r="C677" s="1" t="s">
        <v>13</v>
      </c>
      <c r="D677" s="1">
        <v>926</v>
      </c>
      <c r="E677" s="2">
        <v>1247</v>
      </c>
      <c r="F677" s="2">
        <v>989</v>
      </c>
      <c r="G677" s="2">
        <v>258</v>
      </c>
      <c r="H677" s="1">
        <v>955</v>
      </c>
      <c r="I677" s="2">
        <v>34</v>
      </c>
    </row>
    <row r="678" spans="1:9" ht="12.75" x14ac:dyDescent="0.2">
      <c r="A678" s="3">
        <v>45938</v>
      </c>
      <c r="B678" s="1" t="str">
        <f t="shared" si="17"/>
        <v>08/10/25 Miércoles</v>
      </c>
      <c r="C678" s="1" t="s">
        <v>14</v>
      </c>
      <c r="D678" s="1">
        <v>1099</v>
      </c>
      <c r="E678" s="2">
        <v>368</v>
      </c>
      <c r="F678" s="2">
        <v>298</v>
      </c>
      <c r="G678" s="2">
        <v>70</v>
      </c>
      <c r="H678" s="1">
        <v>247</v>
      </c>
      <c r="I678" s="2">
        <v>51</v>
      </c>
    </row>
    <row r="679" spans="1:9" ht="12.75" x14ac:dyDescent="0.2">
      <c r="A679" s="3">
        <v>45938</v>
      </c>
      <c r="B679" s="1" t="str">
        <f t="shared" si="17"/>
        <v>08/10/25 Miércoles</v>
      </c>
      <c r="C679" s="1" t="s">
        <v>15</v>
      </c>
      <c r="D679" s="1">
        <v>663</v>
      </c>
      <c r="E679" s="2">
        <v>419</v>
      </c>
      <c r="F679" s="2">
        <v>283</v>
      </c>
      <c r="G679" s="2">
        <v>136</v>
      </c>
      <c r="H679" s="1">
        <v>263</v>
      </c>
      <c r="I679" s="2">
        <v>20</v>
      </c>
    </row>
    <row r="680" spans="1:9" ht="12.75" x14ac:dyDescent="0.2">
      <c r="A680" s="3">
        <v>45939</v>
      </c>
      <c r="B680" s="1" t="str">
        <f t="shared" si="17"/>
        <v>09/10/25 Jueves</v>
      </c>
      <c r="C680" s="1" t="s">
        <v>8</v>
      </c>
      <c r="D680" s="1">
        <v>693</v>
      </c>
      <c r="E680" s="2">
        <v>990</v>
      </c>
      <c r="F680" s="2">
        <v>592</v>
      </c>
      <c r="G680" s="2">
        <v>398</v>
      </c>
      <c r="H680" s="1">
        <v>555</v>
      </c>
      <c r="I680" s="2">
        <v>37</v>
      </c>
    </row>
    <row r="681" spans="1:9" ht="12.75" x14ac:dyDescent="0.2">
      <c r="A681" s="3">
        <v>45939</v>
      </c>
      <c r="B681" s="1" t="str">
        <f t="shared" si="17"/>
        <v>09/10/25 Jueves</v>
      </c>
      <c r="C681" s="1" t="s">
        <v>9</v>
      </c>
      <c r="D681" s="1">
        <v>253</v>
      </c>
      <c r="E681" s="2">
        <v>89</v>
      </c>
      <c r="F681" s="2">
        <v>89</v>
      </c>
      <c r="G681" s="2">
        <v>0</v>
      </c>
      <c r="H681" s="1">
        <v>87</v>
      </c>
      <c r="I681" s="2">
        <v>2</v>
      </c>
    </row>
    <row r="682" spans="1:9" ht="12.75" x14ac:dyDescent="0.2">
      <c r="A682" s="3">
        <v>45939</v>
      </c>
      <c r="B682" s="1" t="str">
        <f t="shared" si="17"/>
        <v>09/10/25 Jueves</v>
      </c>
      <c r="C682" s="1" t="s">
        <v>10</v>
      </c>
      <c r="D682" s="1">
        <v>945</v>
      </c>
      <c r="E682" s="2">
        <v>912</v>
      </c>
      <c r="F682" s="2">
        <v>776</v>
      </c>
      <c r="G682" s="2">
        <v>136</v>
      </c>
      <c r="H682" s="1">
        <v>761</v>
      </c>
      <c r="I682" s="2">
        <v>15</v>
      </c>
    </row>
    <row r="683" spans="1:9" ht="12.75" x14ac:dyDescent="0.2">
      <c r="A683" s="3">
        <v>45939</v>
      </c>
      <c r="B683" s="1" t="str">
        <f t="shared" si="17"/>
        <v>09/10/25 Jueves</v>
      </c>
      <c r="C683" s="1" t="s">
        <v>11</v>
      </c>
      <c r="D683" s="1">
        <v>832</v>
      </c>
      <c r="E683" s="2">
        <v>1170</v>
      </c>
      <c r="F683" s="2">
        <v>1103</v>
      </c>
      <c r="G683" s="2">
        <v>67</v>
      </c>
      <c r="H683" s="1">
        <v>1091</v>
      </c>
      <c r="I683" s="2">
        <v>12</v>
      </c>
    </row>
    <row r="684" spans="1:9" ht="12.75" x14ac:dyDescent="0.2">
      <c r="A684" s="3">
        <v>45939</v>
      </c>
      <c r="B684" s="1" t="str">
        <f t="shared" si="17"/>
        <v>09/10/25 Jueves</v>
      </c>
      <c r="C684" s="1" t="s">
        <v>12</v>
      </c>
      <c r="D684" s="1">
        <v>935</v>
      </c>
      <c r="E684" s="2">
        <v>553</v>
      </c>
      <c r="F684" s="2">
        <v>414</v>
      </c>
      <c r="G684" s="2">
        <v>139</v>
      </c>
      <c r="H684" s="1">
        <v>370</v>
      </c>
      <c r="I684" s="2">
        <v>44</v>
      </c>
    </row>
    <row r="685" spans="1:9" ht="12.75" x14ac:dyDescent="0.2">
      <c r="A685" s="3">
        <v>45939</v>
      </c>
      <c r="B685" s="1" t="str">
        <f t="shared" si="17"/>
        <v>09/10/25 Jueves</v>
      </c>
      <c r="C685" s="1" t="s">
        <v>13</v>
      </c>
      <c r="D685" s="1">
        <v>480</v>
      </c>
      <c r="E685" s="2">
        <v>524</v>
      </c>
      <c r="F685" s="2">
        <v>382</v>
      </c>
      <c r="G685" s="2">
        <v>142</v>
      </c>
      <c r="H685" s="1">
        <v>369</v>
      </c>
      <c r="I685" s="2">
        <v>13</v>
      </c>
    </row>
    <row r="686" spans="1:9" ht="12.75" x14ac:dyDescent="0.2">
      <c r="A686" s="3">
        <v>45939</v>
      </c>
      <c r="B686" s="1" t="str">
        <f t="shared" si="17"/>
        <v>09/10/25 Jueves</v>
      </c>
      <c r="C686" s="1" t="s">
        <v>14</v>
      </c>
      <c r="D686" s="1">
        <v>286</v>
      </c>
      <c r="E686" s="2">
        <v>1395</v>
      </c>
      <c r="F686" s="2">
        <v>978</v>
      </c>
      <c r="G686" s="2">
        <v>417</v>
      </c>
      <c r="H686" s="1">
        <v>812</v>
      </c>
      <c r="I686" s="2">
        <v>166</v>
      </c>
    </row>
    <row r="687" spans="1:9" ht="12.75" x14ac:dyDescent="0.2">
      <c r="A687" s="3">
        <v>45939</v>
      </c>
      <c r="B687" s="1" t="str">
        <f t="shared" si="17"/>
        <v>09/10/25 Jueves</v>
      </c>
      <c r="C687" s="1" t="s">
        <v>15</v>
      </c>
      <c r="D687" s="1">
        <v>737</v>
      </c>
      <c r="E687" s="2">
        <v>1080</v>
      </c>
      <c r="F687" s="2">
        <v>831</v>
      </c>
      <c r="G687" s="2">
        <v>249</v>
      </c>
      <c r="H687" s="1">
        <v>761</v>
      </c>
      <c r="I687" s="2">
        <v>70</v>
      </c>
    </row>
    <row r="688" spans="1:9" ht="12.75" x14ac:dyDescent="0.2">
      <c r="A688" s="3">
        <v>45940</v>
      </c>
      <c r="B688" s="1" t="str">
        <f t="shared" si="17"/>
        <v>10/10/25 Viernes</v>
      </c>
      <c r="C688" s="1" t="s">
        <v>8</v>
      </c>
      <c r="D688" s="1">
        <v>694</v>
      </c>
      <c r="E688" s="2">
        <v>758</v>
      </c>
      <c r="F688" s="2">
        <v>411</v>
      </c>
      <c r="G688" s="2">
        <v>347</v>
      </c>
      <c r="H688" s="1">
        <v>372</v>
      </c>
      <c r="I688" s="2">
        <v>39</v>
      </c>
    </row>
    <row r="689" spans="1:9" ht="12.75" x14ac:dyDescent="0.2">
      <c r="A689" s="3">
        <v>45940</v>
      </c>
      <c r="B689" s="1" t="str">
        <f t="shared" si="17"/>
        <v>10/10/25 Viernes</v>
      </c>
      <c r="C689" s="1" t="s">
        <v>9</v>
      </c>
      <c r="D689" s="1">
        <v>48</v>
      </c>
      <c r="E689" s="2">
        <v>254</v>
      </c>
      <c r="F689" s="2">
        <v>218</v>
      </c>
      <c r="G689" s="2">
        <v>36</v>
      </c>
      <c r="H689" s="1">
        <v>216</v>
      </c>
      <c r="I689" s="2">
        <v>2</v>
      </c>
    </row>
    <row r="690" spans="1:9" ht="12.75" x14ac:dyDescent="0.2">
      <c r="A690" s="3">
        <v>45940</v>
      </c>
      <c r="B690" s="1" t="str">
        <f t="shared" si="17"/>
        <v>10/10/25 Viernes</v>
      </c>
      <c r="C690" s="1" t="s">
        <v>10</v>
      </c>
      <c r="D690" s="1">
        <v>697</v>
      </c>
      <c r="E690" s="2">
        <v>963</v>
      </c>
      <c r="F690" s="2">
        <v>727</v>
      </c>
      <c r="G690" s="2">
        <v>236</v>
      </c>
      <c r="H690" s="1">
        <v>711</v>
      </c>
      <c r="I690" s="2">
        <v>16</v>
      </c>
    </row>
    <row r="691" spans="1:9" ht="12.75" x14ac:dyDescent="0.2">
      <c r="A691" s="3">
        <v>45940</v>
      </c>
      <c r="B691" s="1" t="str">
        <f t="shared" si="17"/>
        <v>10/10/25 Viernes</v>
      </c>
      <c r="C691" s="1" t="s">
        <v>11</v>
      </c>
      <c r="D691" s="1">
        <v>951</v>
      </c>
      <c r="E691" s="2">
        <v>702</v>
      </c>
      <c r="F691" s="2">
        <v>702</v>
      </c>
      <c r="G691" s="2">
        <v>0</v>
      </c>
      <c r="H691" s="1">
        <v>694</v>
      </c>
      <c r="I691" s="2">
        <v>8</v>
      </c>
    </row>
    <row r="692" spans="1:9" ht="12.75" x14ac:dyDescent="0.2">
      <c r="A692" s="3">
        <v>45940</v>
      </c>
      <c r="B692" s="1" t="str">
        <f t="shared" si="17"/>
        <v>10/10/25 Viernes</v>
      </c>
      <c r="C692" s="1" t="s">
        <v>12</v>
      </c>
      <c r="D692" s="1">
        <v>452</v>
      </c>
      <c r="E692" s="2">
        <v>1186</v>
      </c>
      <c r="F692" s="2">
        <v>855</v>
      </c>
      <c r="G692" s="2">
        <v>331</v>
      </c>
      <c r="H692" s="1">
        <v>761</v>
      </c>
      <c r="I692" s="2">
        <v>94</v>
      </c>
    </row>
    <row r="693" spans="1:9" ht="12.75" x14ac:dyDescent="0.2">
      <c r="A693" s="3">
        <v>45940</v>
      </c>
      <c r="B693" s="1" t="str">
        <f t="shared" si="17"/>
        <v>10/10/25 Viernes</v>
      </c>
      <c r="C693" s="1" t="s">
        <v>13</v>
      </c>
      <c r="D693" s="1">
        <v>890</v>
      </c>
      <c r="E693" s="2">
        <v>1246</v>
      </c>
      <c r="F693" s="2">
        <v>1037</v>
      </c>
      <c r="G693" s="2">
        <v>209</v>
      </c>
      <c r="H693" s="1">
        <v>991</v>
      </c>
      <c r="I693" s="2">
        <v>46</v>
      </c>
    </row>
    <row r="694" spans="1:9" ht="12.75" x14ac:dyDescent="0.2">
      <c r="A694" s="3">
        <v>45940</v>
      </c>
      <c r="B694" s="1" t="str">
        <f t="shared" si="17"/>
        <v>10/10/25 Viernes</v>
      </c>
      <c r="C694" s="1" t="s">
        <v>14</v>
      </c>
      <c r="D694" s="1">
        <v>1099</v>
      </c>
      <c r="E694" s="2">
        <v>836</v>
      </c>
      <c r="F694" s="2">
        <v>587</v>
      </c>
      <c r="G694" s="2">
        <v>249</v>
      </c>
      <c r="H694" s="1">
        <v>500</v>
      </c>
      <c r="I694" s="2">
        <v>87</v>
      </c>
    </row>
    <row r="695" spans="1:9" ht="12.75" x14ac:dyDescent="0.2">
      <c r="A695" s="3">
        <v>45940</v>
      </c>
      <c r="B695" s="1" t="str">
        <f t="shared" si="17"/>
        <v>10/10/25 Viernes</v>
      </c>
      <c r="C695" s="1" t="s">
        <v>15</v>
      </c>
      <c r="D695" s="1">
        <v>663</v>
      </c>
      <c r="E695" s="2">
        <v>749</v>
      </c>
      <c r="F695" s="2">
        <v>395</v>
      </c>
      <c r="G695" s="2">
        <v>354</v>
      </c>
      <c r="H695" s="1">
        <v>356</v>
      </c>
      <c r="I695" s="2">
        <v>39</v>
      </c>
    </row>
    <row r="696" spans="1:9" ht="12.75" x14ac:dyDescent="0.2">
      <c r="A696" s="3">
        <v>45941</v>
      </c>
      <c r="B696" s="1" t="str">
        <f t="shared" si="17"/>
        <v>11/10/25 Sábado</v>
      </c>
      <c r="C696" s="1" t="s">
        <v>8</v>
      </c>
      <c r="D696" s="1">
        <v>693</v>
      </c>
      <c r="E696" s="2">
        <v>1297</v>
      </c>
      <c r="F696" s="2">
        <v>961</v>
      </c>
      <c r="G696" s="2">
        <v>336</v>
      </c>
      <c r="H696" s="1">
        <v>859</v>
      </c>
      <c r="I696" s="2">
        <v>102</v>
      </c>
    </row>
    <row r="697" spans="1:9" ht="12.75" x14ac:dyDescent="0.2">
      <c r="A697" s="3">
        <v>45941</v>
      </c>
      <c r="B697" s="1" t="str">
        <f t="shared" si="17"/>
        <v>11/10/25 Sábado</v>
      </c>
      <c r="C697" s="1" t="s">
        <v>9</v>
      </c>
      <c r="D697" s="1">
        <v>0</v>
      </c>
      <c r="E697" s="2">
        <v>37</v>
      </c>
      <c r="F697" s="2">
        <v>37</v>
      </c>
      <c r="G697" s="2">
        <v>0</v>
      </c>
      <c r="H697" s="1">
        <v>34</v>
      </c>
      <c r="I697" s="2">
        <v>3</v>
      </c>
    </row>
    <row r="698" spans="1:9" ht="12.75" x14ac:dyDescent="0.2">
      <c r="A698" s="3">
        <v>45941</v>
      </c>
      <c r="B698" s="1" t="str">
        <f t="shared" si="17"/>
        <v>11/10/25 Sábado</v>
      </c>
      <c r="C698" s="1" t="s">
        <v>10</v>
      </c>
      <c r="D698" s="1">
        <v>0</v>
      </c>
      <c r="E698" s="2">
        <v>194</v>
      </c>
      <c r="F698" s="2">
        <v>167</v>
      </c>
      <c r="G698" s="2">
        <v>27</v>
      </c>
      <c r="H698" s="1">
        <v>159</v>
      </c>
      <c r="I698" s="2">
        <v>8</v>
      </c>
    </row>
    <row r="699" spans="1:9" ht="12.75" x14ac:dyDescent="0.2">
      <c r="A699" s="3">
        <v>45941</v>
      </c>
      <c r="B699" s="1" t="str">
        <f t="shared" si="17"/>
        <v>11/10/25 Sábado</v>
      </c>
      <c r="C699" s="1" t="s">
        <v>11</v>
      </c>
      <c r="D699" s="1">
        <v>0</v>
      </c>
      <c r="E699" s="2">
        <v>0</v>
      </c>
      <c r="F699" s="2">
        <v>0</v>
      </c>
      <c r="G699" s="2">
        <v>0</v>
      </c>
      <c r="H699" s="1">
        <v>0</v>
      </c>
      <c r="I699" s="2">
        <v>0</v>
      </c>
    </row>
    <row r="700" spans="1:9" ht="12.75" x14ac:dyDescent="0.2">
      <c r="A700" s="3">
        <v>45941</v>
      </c>
      <c r="B700" s="1" t="str">
        <f t="shared" si="17"/>
        <v>11/10/25 Sábado</v>
      </c>
      <c r="C700" s="1" t="s">
        <v>12</v>
      </c>
      <c r="D700" s="1">
        <v>935</v>
      </c>
      <c r="E700" s="2">
        <v>650</v>
      </c>
      <c r="F700" s="2">
        <v>578</v>
      </c>
      <c r="G700" s="2">
        <v>72</v>
      </c>
      <c r="H700" s="1">
        <v>444</v>
      </c>
      <c r="I700" s="2">
        <v>134</v>
      </c>
    </row>
    <row r="701" spans="1:9" ht="12.75" x14ac:dyDescent="0.2">
      <c r="A701" s="3">
        <v>45941</v>
      </c>
      <c r="B701" s="1" t="str">
        <f t="shared" si="17"/>
        <v>11/10/25 Sábado</v>
      </c>
      <c r="C701" s="1" t="s">
        <v>13</v>
      </c>
      <c r="D701" s="1">
        <v>288</v>
      </c>
      <c r="E701" s="2">
        <v>192</v>
      </c>
      <c r="F701" s="2">
        <v>192</v>
      </c>
      <c r="G701" s="2">
        <v>0</v>
      </c>
      <c r="H701" s="1">
        <v>183</v>
      </c>
      <c r="I701" s="2">
        <v>9</v>
      </c>
    </row>
    <row r="702" spans="1:9" ht="12.75" x14ac:dyDescent="0.2">
      <c r="A702" s="3">
        <v>45941</v>
      </c>
      <c r="B702" s="1" t="str">
        <f t="shared" si="17"/>
        <v>11/10/25 Sábado</v>
      </c>
      <c r="C702" s="1" t="s">
        <v>14</v>
      </c>
      <c r="D702" s="1">
        <v>286</v>
      </c>
      <c r="E702" s="2">
        <v>570</v>
      </c>
      <c r="F702" s="2">
        <v>425</v>
      </c>
      <c r="G702" s="2">
        <v>145</v>
      </c>
      <c r="H702" s="1">
        <v>359</v>
      </c>
      <c r="I702" s="2">
        <v>66</v>
      </c>
    </row>
    <row r="703" spans="1:9" ht="12.75" x14ac:dyDescent="0.2">
      <c r="A703" s="3">
        <v>45941</v>
      </c>
      <c r="B703" s="1" t="str">
        <f t="shared" si="17"/>
        <v>11/10/25 Sábado</v>
      </c>
      <c r="C703" s="1" t="s">
        <v>15</v>
      </c>
      <c r="D703" s="1">
        <v>737</v>
      </c>
      <c r="E703" s="2">
        <v>625</v>
      </c>
      <c r="F703" s="2">
        <v>342</v>
      </c>
      <c r="G703" s="2">
        <v>283</v>
      </c>
      <c r="H703" s="1">
        <v>309</v>
      </c>
      <c r="I703" s="2">
        <v>33</v>
      </c>
    </row>
    <row r="704" spans="1:9" ht="12.75" x14ac:dyDescent="0.2">
      <c r="A704" s="3">
        <v>45942</v>
      </c>
      <c r="B704" s="1" t="str">
        <f t="shared" si="17"/>
        <v>12/10/25 Domingo</v>
      </c>
      <c r="C704" s="1" t="s">
        <v>8</v>
      </c>
      <c r="D704" s="1">
        <v>138</v>
      </c>
      <c r="E704" s="2">
        <v>178</v>
      </c>
      <c r="F704" s="2">
        <v>126</v>
      </c>
      <c r="G704" s="2">
        <v>52</v>
      </c>
      <c r="H704" s="1">
        <v>108</v>
      </c>
      <c r="I704" s="2">
        <v>18</v>
      </c>
    </row>
    <row r="705" spans="1:9" ht="12.75" x14ac:dyDescent="0.2">
      <c r="A705" s="3">
        <v>45942</v>
      </c>
      <c r="B705" s="1" t="str">
        <f t="shared" si="17"/>
        <v>12/10/25 Domingo</v>
      </c>
      <c r="C705" s="1" t="s">
        <v>9</v>
      </c>
      <c r="D705" s="1">
        <v>301</v>
      </c>
      <c r="E705" s="2">
        <v>48</v>
      </c>
      <c r="F705" s="2">
        <v>48</v>
      </c>
      <c r="G705" s="2">
        <v>0</v>
      </c>
      <c r="H705" s="1">
        <v>47</v>
      </c>
      <c r="I705" s="2">
        <v>1</v>
      </c>
    </row>
    <row r="706" spans="1:9" ht="12.75" x14ac:dyDescent="0.2">
      <c r="A706" s="3">
        <v>45942</v>
      </c>
      <c r="B706" s="1" t="str">
        <f t="shared" si="17"/>
        <v>12/10/25 Domingo</v>
      </c>
      <c r="C706" s="1" t="s">
        <v>10</v>
      </c>
      <c r="D706" s="1">
        <v>945</v>
      </c>
      <c r="E706" s="2">
        <v>936</v>
      </c>
      <c r="F706" s="2">
        <v>686</v>
      </c>
      <c r="G706" s="2">
        <v>250</v>
      </c>
      <c r="H706" s="1">
        <v>668</v>
      </c>
      <c r="I706" s="2">
        <v>18</v>
      </c>
    </row>
    <row r="707" spans="1:9" ht="12.75" x14ac:dyDescent="0.2">
      <c r="A707" s="3">
        <v>45942</v>
      </c>
      <c r="B707" s="1" t="str">
        <f t="shared" ref="B707:B770" si="18">PROPER(TEXT(A707,"[$-es-ES]dd/mm/yy dddd"))</f>
        <v>12/10/25 Domingo</v>
      </c>
      <c r="C707" s="1" t="s">
        <v>11</v>
      </c>
      <c r="D707" s="1">
        <v>1783</v>
      </c>
      <c r="E707" s="2">
        <v>1165</v>
      </c>
      <c r="F707" s="2">
        <v>1111</v>
      </c>
      <c r="G707" s="2">
        <v>54</v>
      </c>
      <c r="H707" s="1">
        <v>1099</v>
      </c>
      <c r="I707" s="2">
        <v>12</v>
      </c>
    </row>
    <row r="708" spans="1:9" ht="12.75" x14ac:dyDescent="0.2">
      <c r="A708" s="3">
        <v>45942</v>
      </c>
      <c r="B708" s="1" t="str">
        <f t="shared" si="18"/>
        <v>12/10/25 Domingo</v>
      </c>
      <c r="C708" s="1" t="s">
        <v>12</v>
      </c>
      <c r="D708" s="1">
        <v>452</v>
      </c>
      <c r="E708" s="2">
        <v>140</v>
      </c>
      <c r="F708" s="2">
        <v>68</v>
      </c>
      <c r="G708" s="2">
        <v>72</v>
      </c>
      <c r="H708" s="1">
        <v>61</v>
      </c>
      <c r="I708" s="2">
        <v>7</v>
      </c>
    </row>
    <row r="709" spans="1:9" ht="12.75" x14ac:dyDescent="0.2">
      <c r="A709" s="3">
        <v>45942</v>
      </c>
      <c r="B709" s="1" t="str">
        <f t="shared" si="18"/>
        <v>12/10/25 Domingo</v>
      </c>
      <c r="C709" s="1" t="s">
        <v>13</v>
      </c>
      <c r="D709" s="1">
        <v>450</v>
      </c>
      <c r="E709" s="2">
        <v>516</v>
      </c>
      <c r="F709" s="2">
        <v>421</v>
      </c>
      <c r="G709" s="2">
        <v>95</v>
      </c>
      <c r="H709" s="1">
        <v>400</v>
      </c>
      <c r="I709" s="2">
        <v>21</v>
      </c>
    </row>
    <row r="710" spans="1:9" ht="12.75" x14ac:dyDescent="0.2">
      <c r="A710" s="3">
        <v>45942</v>
      </c>
      <c r="B710" s="1" t="str">
        <f t="shared" si="18"/>
        <v>12/10/25 Domingo</v>
      </c>
      <c r="C710" s="1" t="s">
        <v>14</v>
      </c>
      <c r="D710" s="1">
        <v>0</v>
      </c>
      <c r="E710" s="2">
        <v>419</v>
      </c>
      <c r="F710" s="2">
        <v>318</v>
      </c>
      <c r="G710" s="2">
        <v>101</v>
      </c>
      <c r="H710" s="1">
        <v>292</v>
      </c>
      <c r="I710" s="2">
        <v>26</v>
      </c>
    </row>
    <row r="711" spans="1:9" ht="12.75" x14ac:dyDescent="0.2">
      <c r="A711" s="3">
        <v>45942</v>
      </c>
      <c r="B711" s="1" t="str">
        <f t="shared" si="18"/>
        <v>12/10/25 Domingo</v>
      </c>
      <c r="C711" s="1" t="s">
        <v>15</v>
      </c>
      <c r="D711" s="1">
        <v>0</v>
      </c>
      <c r="E711" s="2">
        <v>532</v>
      </c>
      <c r="F711" s="2">
        <v>400</v>
      </c>
      <c r="G711" s="2">
        <v>132</v>
      </c>
      <c r="H711" s="1">
        <v>365</v>
      </c>
      <c r="I711" s="2">
        <v>35</v>
      </c>
    </row>
    <row r="712" spans="1:9" ht="12.75" x14ac:dyDescent="0.2">
      <c r="A712" s="3">
        <v>45943</v>
      </c>
      <c r="B712" s="1" t="str">
        <f t="shared" si="18"/>
        <v>13/10/25 Lunes</v>
      </c>
      <c r="C712" s="1" t="s">
        <v>8</v>
      </c>
      <c r="D712" s="1">
        <v>697</v>
      </c>
      <c r="E712" s="2">
        <v>1064</v>
      </c>
      <c r="F712" s="2">
        <v>860</v>
      </c>
      <c r="G712" s="2">
        <v>204</v>
      </c>
      <c r="H712" s="1">
        <v>804</v>
      </c>
      <c r="I712" s="2">
        <v>56</v>
      </c>
    </row>
    <row r="713" spans="1:9" ht="12.75" x14ac:dyDescent="0.2">
      <c r="A713" s="3">
        <v>45943</v>
      </c>
      <c r="B713" s="1" t="str">
        <f t="shared" si="18"/>
        <v>13/10/25 Lunes</v>
      </c>
      <c r="C713" s="1" t="s">
        <v>9</v>
      </c>
      <c r="D713" s="1">
        <v>48</v>
      </c>
      <c r="E713" s="2">
        <v>254</v>
      </c>
      <c r="F713" s="2">
        <v>192</v>
      </c>
      <c r="G713" s="2">
        <v>62</v>
      </c>
      <c r="H713" s="1">
        <v>191</v>
      </c>
      <c r="I713" s="2">
        <v>1</v>
      </c>
    </row>
    <row r="714" spans="1:9" ht="12.75" x14ac:dyDescent="0.2">
      <c r="A714" s="3">
        <v>45943</v>
      </c>
      <c r="B714" s="1" t="str">
        <f t="shared" si="18"/>
        <v>13/10/25 Lunes</v>
      </c>
      <c r="C714" s="1" t="s">
        <v>10</v>
      </c>
      <c r="D714" s="1">
        <v>697</v>
      </c>
      <c r="E714" s="2">
        <v>1010</v>
      </c>
      <c r="F714" s="2">
        <v>685</v>
      </c>
      <c r="G714" s="2">
        <v>325</v>
      </c>
      <c r="H714" s="1">
        <v>597</v>
      </c>
      <c r="I714" s="2">
        <v>88</v>
      </c>
    </row>
    <row r="715" spans="1:9" ht="12.75" x14ac:dyDescent="0.2">
      <c r="A715" s="3">
        <v>45943</v>
      </c>
      <c r="B715" s="1" t="str">
        <f t="shared" si="18"/>
        <v>13/10/25 Lunes</v>
      </c>
      <c r="C715" s="1" t="s">
        <v>11</v>
      </c>
      <c r="D715" s="1">
        <v>832</v>
      </c>
      <c r="E715" s="2">
        <v>712</v>
      </c>
      <c r="F715" s="2">
        <v>682</v>
      </c>
      <c r="G715" s="2">
        <v>30</v>
      </c>
      <c r="H715" s="1">
        <v>673</v>
      </c>
      <c r="I715" s="2">
        <v>9</v>
      </c>
    </row>
    <row r="716" spans="1:9" ht="12.75" x14ac:dyDescent="0.2">
      <c r="A716" s="3">
        <v>45943</v>
      </c>
      <c r="B716" s="1" t="str">
        <f t="shared" si="18"/>
        <v>13/10/25 Lunes</v>
      </c>
      <c r="C716" s="1" t="s">
        <v>12</v>
      </c>
      <c r="D716" s="1">
        <v>352</v>
      </c>
      <c r="E716" s="2">
        <v>1088</v>
      </c>
      <c r="F716" s="2">
        <v>668</v>
      </c>
      <c r="G716" s="2">
        <v>420</v>
      </c>
      <c r="H716" s="1">
        <v>599</v>
      </c>
      <c r="I716" s="2">
        <v>69</v>
      </c>
    </row>
    <row r="717" spans="1:9" ht="12.75" x14ac:dyDescent="0.2">
      <c r="A717" s="3">
        <v>45943</v>
      </c>
      <c r="B717" s="1" t="str">
        <f t="shared" si="18"/>
        <v>13/10/25 Lunes</v>
      </c>
      <c r="C717" s="1" t="s">
        <v>13</v>
      </c>
      <c r="D717" s="1">
        <v>890</v>
      </c>
      <c r="E717" s="2">
        <v>1112</v>
      </c>
      <c r="F717" s="2">
        <v>677</v>
      </c>
      <c r="G717" s="2">
        <v>435</v>
      </c>
      <c r="H717" s="1">
        <v>659</v>
      </c>
      <c r="I717" s="2">
        <v>18</v>
      </c>
    </row>
    <row r="718" spans="1:9" ht="12.75" x14ac:dyDescent="0.2">
      <c r="A718" s="3">
        <v>45943</v>
      </c>
      <c r="B718" s="1" t="str">
        <f t="shared" si="18"/>
        <v>13/10/25 Lunes</v>
      </c>
      <c r="C718" s="1" t="s">
        <v>14</v>
      </c>
      <c r="D718" s="1">
        <v>1099</v>
      </c>
      <c r="E718" s="2">
        <v>883</v>
      </c>
      <c r="F718" s="2">
        <v>589</v>
      </c>
      <c r="G718" s="2">
        <v>294</v>
      </c>
      <c r="H718" s="1">
        <v>520</v>
      </c>
      <c r="I718" s="2">
        <v>69</v>
      </c>
    </row>
    <row r="719" spans="1:9" ht="12.75" x14ac:dyDescent="0.2">
      <c r="A719" s="3">
        <v>45943</v>
      </c>
      <c r="B719" s="1" t="str">
        <f t="shared" si="18"/>
        <v>13/10/25 Lunes</v>
      </c>
      <c r="C719" s="1" t="s">
        <v>15</v>
      </c>
      <c r="D719" s="1">
        <v>663</v>
      </c>
      <c r="E719" s="2">
        <v>713</v>
      </c>
      <c r="F719" s="2">
        <v>565</v>
      </c>
      <c r="G719" s="2">
        <v>148</v>
      </c>
      <c r="H719" s="1">
        <v>492</v>
      </c>
      <c r="I719" s="2">
        <v>73</v>
      </c>
    </row>
    <row r="720" spans="1:9" ht="12.75" x14ac:dyDescent="0.2">
      <c r="A720" s="3">
        <v>45944</v>
      </c>
      <c r="B720" s="1" t="str">
        <f t="shared" si="18"/>
        <v>14/10/25 Martes</v>
      </c>
      <c r="C720" s="1" t="s">
        <v>8</v>
      </c>
      <c r="D720" s="1">
        <v>690</v>
      </c>
      <c r="E720" s="2">
        <v>9</v>
      </c>
      <c r="F720" s="2">
        <v>2</v>
      </c>
      <c r="G720" s="2">
        <v>7</v>
      </c>
      <c r="H720" s="1">
        <v>2</v>
      </c>
      <c r="I720" s="2">
        <v>0</v>
      </c>
    </row>
    <row r="721" spans="1:9" ht="12.75" x14ac:dyDescent="0.2">
      <c r="A721" s="3">
        <v>45944</v>
      </c>
      <c r="B721" s="1" t="str">
        <f t="shared" si="18"/>
        <v>14/10/25 Martes</v>
      </c>
      <c r="C721" s="1" t="s">
        <v>9</v>
      </c>
      <c r="D721" s="1">
        <v>253</v>
      </c>
      <c r="E721" s="2">
        <v>0</v>
      </c>
      <c r="F721" s="2">
        <v>0</v>
      </c>
      <c r="G721" s="2">
        <v>0</v>
      </c>
      <c r="H721" s="1">
        <v>0</v>
      </c>
      <c r="I721" s="2">
        <v>0</v>
      </c>
    </row>
    <row r="722" spans="1:9" ht="12.75" x14ac:dyDescent="0.2">
      <c r="A722" s="3">
        <v>45944</v>
      </c>
      <c r="B722" s="1" t="str">
        <f t="shared" si="18"/>
        <v>14/10/25 Martes</v>
      </c>
      <c r="C722" s="1" t="s">
        <v>10</v>
      </c>
      <c r="D722" s="1">
        <v>945</v>
      </c>
      <c r="E722" s="2">
        <v>0</v>
      </c>
      <c r="F722" s="2">
        <v>0</v>
      </c>
      <c r="G722" s="2">
        <v>0</v>
      </c>
      <c r="H722" s="1">
        <v>0</v>
      </c>
      <c r="I722" s="2">
        <v>0</v>
      </c>
    </row>
    <row r="723" spans="1:9" ht="12.75" x14ac:dyDescent="0.2">
      <c r="A723" s="3">
        <v>45944</v>
      </c>
      <c r="B723" s="1" t="str">
        <f t="shared" si="18"/>
        <v>14/10/25 Martes</v>
      </c>
      <c r="C723" s="1" t="s">
        <v>11</v>
      </c>
      <c r="D723" s="1">
        <v>951</v>
      </c>
      <c r="E723" s="2">
        <v>14</v>
      </c>
      <c r="F723" s="2">
        <v>1</v>
      </c>
      <c r="G723" s="2">
        <v>13</v>
      </c>
      <c r="H723" s="1">
        <v>1</v>
      </c>
      <c r="I723" s="2">
        <v>0</v>
      </c>
    </row>
    <row r="724" spans="1:9" ht="12.75" x14ac:dyDescent="0.2">
      <c r="A724" s="3">
        <v>45944</v>
      </c>
      <c r="B724" s="1" t="str">
        <f t="shared" si="18"/>
        <v>14/10/25 Martes</v>
      </c>
      <c r="C724" s="1" t="s">
        <v>12</v>
      </c>
      <c r="D724" s="1">
        <v>1035</v>
      </c>
      <c r="E724" s="2">
        <v>65</v>
      </c>
      <c r="F724" s="2">
        <v>15</v>
      </c>
      <c r="G724" s="2">
        <v>50</v>
      </c>
      <c r="H724" s="1">
        <v>13</v>
      </c>
      <c r="I724" s="2">
        <v>2</v>
      </c>
    </row>
    <row r="725" spans="1:9" ht="12.75" x14ac:dyDescent="0.2">
      <c r="A725" s="3">
        <v>45944</v>
      </c>
      <c r="B725" s="1" t="str">
        <f t="shared" si="18"/>
        <v>14/10/25 Martes</v>
      </c>
      <c r="C725" s="1" t="s">
        <v>13</v>
      </c>
      <c r="D725" s="1">
        <v>510</v>
      </c>
      <c r="E725" s="2">
        <v>180</v>
      </c>
      <c r="F725" s="2">
        <v>106</v>
      </c>
      <c r="G725" s="2">
        <v>74</v>
      </c>
      <c r="H725" s="1">
        <v>83</v>
      </c>
      <c r="I725" s="2">
        <v>23</v>
      </c>
    </row>
    <row r="726" spans="1:9" ht="12.75" x14ac:dyDescent="0.2">
      <c r="A726" s="3">
        <v>45944</v>
      </c>
      <c r="B726" s="1" t="str">
        <f t="shared" si="18"/>
        <v>14/10/25 Martes</v>
      </c>
      <c r="C726" s="1" t="s">
        <v>14</v>
      </c>
      <c r="D726" s="1">
        <v>286</v>
      </c>
      <c r="E726" s="2">
        <v>338</v>
      </c>
      <c r="F726" s="2">
        <v>134</v>
      </c>
      <c r="G726" s="2">
        <v>204</v>
      </c>
      <c r="H726" s="1">
        <v>125</v>
      </c>
      <c r="I726" s="2">
        <v>9</v>
      </c>
    </row>
    <row r="727" spans="1:9" ht="12.75" x14ac:dyDescent="0.2">
      <c r="A727" s="3">
        <v>45944</v>
      </c>
      <c r="B727" s="1" t="str">
        <f t="shared" si="18"/>
        <v>14/10/25 Martes</v>
      </c>
      <c r="C727" s="1" t="s">
        <v>15</v>
      </c>
      <c r="D727" s="1">
        <v>737</v>
      </c>
      <c r="E727" s="2">
        <v>0</v>
      </c>
      <c r="F727" s="2">
        <v>0</v>
      </c>
      <c r="G727" s="2">
        <v>0</v>
      </c>
      <c r="H727" s="1">
        <v>0</v>
      </c>
      <c r="I727" s="2">
        <v>0</v>
      </c>
    </row>
    <row r="728" spans="1:9" ht="12.75" x14ac:dyDescent="0.2">
      <c r="A728" s="3">
        <v>45945</v>
      </c>
      <c r="B728" s="1" t="str">
        <f t="shared" si="18"/>
        <v>15/10/25 Miércoles</v>
      </c>
      <c r="C728" s="1" t="s">
        <v>8</v>
      </c>
      <c r="D728" s="1">
        <v>697</v>
      </c>
      <c r="E728" s="2">
        <v>769</v>
      </c>
      <c r="F728" s="2">
        <v>347</v>
      </c>
      <c r="G728" s="2">
        <v>422</v>
      </c>
      <c r="H728" s="1">
        <v>314</v>
      </c>
      <c r="I728" s="2">
        <v>33</v>
      </c>
    </row>
    <row r="729" spans="1:9" ht="12.75" x14ac:dyDescent="0.2">
      <c r="A729" s="3">
        <v>45945</v>
      </c>
      <c r="B729" s="1" t="str">
        <f t="shared" si="18"/>
        <v>15/10/25 Miércoles</v>
      </c>
      <c r="C729" s="1" t="s">
        <v>9</v>
      </c>
      <c r="D729" s="1">
        <v>48</v>
      </c>
      <c r="E729" s="2">
        <v>144</v>
      </c>
      <c r="F729" s="2">
        <v>103</v>
      </c>
      <c r="G729" s="2">
        <v>41</v>
      </c>
      <c r="H729" s="1">
        <v>101</v>
      </c>
      <c r="I729" s="2">
        <v>2</v>
      </c>
    </row>
    <row r="730" spans="1:9" ht="12.75" x14ac:dyDescent="0.2">
      <c r="A730" s="3">
        <v>45945</v>
      </c>
      <c r="B730" s="1" t="str">
        <f t="shared" si="18"/>
        <v>15/10/25 Miércoles</v>
      </c>
      <c r="C730" s="1" t="s">
        <v>10</v>
      </c>
      <c r="D730" s="1">
        <v>697</v>
      </c>
      <c r="E730" s="2">
        <v>614</v>
      </c>
      <c r="F730" s="2">
        <v>513</v>
      </c>
      <c r="G730" s="2">
        <v>101</v>
      </c>
      <c r="H730" s="1">
        <v>459</v>
      </c>
      <c r="I730" s="2">
        <v>54</v>
      </c>
    </row>
    <row r="731" spans="1:9" ht="12.75" x14ac:dyDescent="0.2">
      <c r="A731" s="3">
        <v>45945</v>
      </c>
      <c r="B731" s="1" t="str">
        <f t="shared" si="18"/>
        <v>15/10/25 Miércoles</v>
      </c>
      <c r="C731" s="1" t="s">
        <v>11</v>
      </c>
      <c r="D731" s="1">
        <v>832</v>
      </c>
      <c r="E731" s="2">
        <v>1186</v>
      </c>
      <c r="F731" s="2">
        <v>1161</v>
      </c>
      <c r="G731" s="2">
        <v>25</v>
      </c>
      <c r="H731" s="1">
        <v>1147</v>
      </c>
      <c r="I731" s="2">
        <v>14</v>
      </c>
    </row>
    <row r="732" spans="1:9" ht="12.75" x14ac:dyDescent="0.2">
      <c r="A732" s="3">
        <v>45945</v>
      </c>
      <c r="B732" s="1" t="str">
        <f t="shared" si="18"/>
        <v>15/10/25 Miércoles</v>
      </c>
      <c r="C732" s="1" t="s">
        <v>12</v>
      </c>
      <c r="D732" s="1">
        <v>352</v>
      </c>
      <c r="E732" s="2">
        <v>37</v>
      </c>
      <c r="F732" s="2">
        <v>37</v>
      </c>
      <c r="G732" s="2">
        <v>0</v>
      </c>
      <c r="H732" s="1">
        <v>36</v>
      </c>
      <c r="I732" s="2">
        <v>1</v>
      </c>
    </row>
    <row r="733" spans="1:9" ht="12.75" x14ac:dyDescent="0.2">
      <c r="A733" s="3">
        <v>45945</v>
      </c>
      <c r="B733" s="1" t="str">
        <f t="shared" si="18"/>
        <v>15/10/25 Miércoles</v>
      </c>
      <c r="C733" s="1" t="s">
        <v>13</v>
      </c>
      <c r="D733" s="1">
        <v>896</v>
      </c>
      <c r="E733" s="2">
        <v>622</v>
      </c>
      <c r="F733" s="2">
        <v>461</v>
      </c>
      <c r="G733" s="2">
        <v>161</v>
      </c>
      <c r="H733" s="1">
        <v>446</v>
      </c>
      <c r="I733" s="2">
        <v>15</v>
      </c>
    </row>
    <row r="734" spans="1:9" ht="12.75" x14ac:dyDescent="0.2">
      <c r="A734" s="3">
        <v>45945</v>
      </c>
      <c r="B734" s="1" t="str">
        <f t="shared" si="18"/>
        <v>15/10/25 Miércoles</v>
      </c>
      <c r="C734" s="1" t="s">
        <v>14</v>
      </c>
      <c r="D734" s="1">
        <v>1099</v>
      </c>
      <c r="E734" s="2">
        <v>263</v>
      </c>
      <c r="F734" s="2">
        <v>232</v>
      </c>
      <c r="G734" s="2">
        <v>31</v>
      </c>
      <c r="H734" s="1">
        <v>209</v>
      </c>
      <c r="I734" s="2">
        <v>23</v>
      </c>
    </row>
    <row r="735" spans="1:9" ht="12.75" x14ac:dyDescent="0.2">
      <c r="A735" s="3">
        <v>45945</v>
      </c>
      <c r="B735" s="1" t="str">
        <f t="shared" si="18"/>
        <v>15/10/25 Miércoles</v>
      </c>
      <c r="C735" s="1" t="s">
        <v>15</v>
      </c>
      <c r="D735" s="1">
        <v>663</v>
      </c>
      <c r="E735" s="2">
        <v>662</v>
      </c>
      <c r="F735" s="2">
        <v>374</v>
      </c>
      <c r="G735" s="2">
        <v>288</v>
      </c>
      <c r="H735" s="1">
        <v>350</v>
      </c>
      <c r="I735" s="2">
        <v>24</v>
      </c>
    </row>
    <row r="736" spans="1:9" ht="12.75" x14ac:dyDescent="0.2">
      <c r="A736" s="3">
        <v>45946</v>
      </c>
      <c r="B736" s="1" t="str">
        <f t="shared" si="18"/>
        <v>16/10/25 Jueves</v>
      </c>
      <c r="C736" s="1" t="s">
        <v>8</v>
      </c>
      <c r="D736" s="1">
        <v>690</v>
      </c>
      <c r="E736" s="2">
        <v>522</v>
      </c>
      <c r="F736" s="2">
        <v>260</v>
      </c>
      <c r="G736" s="2">
        <v>262</v>
      </c>
      <c r="H736" s="1">
        <v>209</v>
      </c>
      <c r="I736" s="2">
        <v>51</v>
      </c>
    </row>
    <row r="737" spans="1:9" ht="12.75" x14ac:dyDescent="0.2">
      <c r="A737" s="3">
        <v>45946</v>
      </c>
      <c r="B737" s="1" t="str">
        <f t="shared" si="18"/>
        <v>16/10/25 Jueves</v>
      </c>
      <c r="C737" s="1" t="s">
        <v>9</v>
      </c>
      <c r="D737" s="1">
        <v>253</v>
      </c>
      <c r="E737" s="2">
        <v>199</v>
      </c>
      <c r="F737" s="2">
        <v>199</v>
      </c>
      <c r="G737" s="2">
        <v>0</v>
      </c>
      <c r="H737" s="1">
        <v>198</v>
      </c>
      <c r="I737" s="2">
        <v>1</v>
      </c>
    </row>
    <row r="738" spans="1:9" ht="12.75" x14ac:dyDescent="0.2">
      <c r="A738" s="3">
        <v>45946</v>
      </c>
      <c r="B738" s="1" t="str">
        <f t="shared" si="18"/>
        <v>16/10/25 Jueves</v>
      </c>
      <c r="C738" s="1" t="s">
        <v>10</v>
      </c>
      <c r="D738" s="1">
        <v>945</v>
      </c>
      <c r="E738" s="2">
        <v>1364</v>
      </c>
      <c r="F738" s="2">
        <v>896</v>
      </c>
      <c r="G738" s="2">
        <v>468</v>
      </c>
      <c r="H738" s="1">
        <v>885</v>
      </c>
      <c r="I738" s="2">
        <v>11</v>
      </c>
    </row>
    <row r="739" spans="1:9" ht="12.75" x14ac:dyDescent="0.2">
      <c r="A739" s="3">
        <v>45946</v>
      </c>
      <c r="B739" s="1" t="str">
        <f t="shared" si="18"/>
        <v>16/10/25 Jueves</v>
      </c>
      <c r="C739" s="1" t="s">
        <v>11</v>
      </c>
      <c r="D739" s="1">
        <v>951</v>
      </c>
      <c r="E739" s="2">
        <v>677</v>
      </c>
      <c r="F739" s="2">
        <v>677</v>
      </c>
      <c r="G739" s="2">
        <v>0</v>
      </c>
      <c r="H739" s="1">
        <v>669</v>
      </c>
      <c r="I739" s="2">
        <v>8</v>
      </c>
    </row>
    <row r="740" spans="1:9" ht="12.75" x14ac:dyDescent="0.2">
      <c r="A740" s="3">
        <v>45946</v>
      </c>
      <c r="B740" s="1" t="str">
        <f t="shared" si="18"/>
        <v>16/10/25 Jueves</v>
      </c>
      <c r="C740" s="1" t="s">
        <v>12</v>
      </c>
      <c r="D740" s="1">
        <v>1035</v>
      </c>
      <c r="E740" s="2">
        <v>1596</v>
      </c>
      <c r="F740" s="2">
        <v>1145</v>
      </c>
      <c r="G740" s="2">
        <v>451</v>
      </c>
      <c r="H740" s="1">
        <v>978</v>
      </c>
      <c r="I740" s="2">
        <v>167</v>
      </c>
    </row>
    <row r="741" spans="1:9" ht="12.75" x14ac:dyDescent="0.2">
      <c r="A741" s="3">
        <v>45946</v>
      </c>
      <c r="B741" s="1" t="str">
        <f t="shared" si="18"/>
        <v>16/10/25 Jueves</v>
      </c>
      <c r="C741" s="1" t="s">
        <v>13</v>
      </c>
      <c r="D741" s="1">
        <v>474</v>
      </c>
      <c r="E741" s="2">
        <v>635</v>
      </c>
      <c r="F741" s="2">
        <v>359</v>
      </c>
      <c r="G741" s="2">
        <v>276</v>
      </c>
      <c r="H741" s="1">
        <v>352</v>
      </c>
      <c r="I741" s="2">
        <v>7</v>
      </c>
    </row>
    <row r="742" spans="1:9" ht="12.75" x14ac:dyDescent="0.2">
      <c r="A742" s="3">
        <v>45946</v>
      </c>
      <c r="B742" s="1" t="str">
        <f t="shared" si="18"/>
        <v>16/10/25 Jueves</v>
      </c>
      <c r="C742" s="1" t="s">
        <v>14</v>
      </c>
      <c r="D742" s="1">
        <v>286</v>
      </c>
      <c r="E742" s="2">
        <v>868</v>
      </c>
      <c r="F742" s="2">
        <v>554</v>
      </c>
      <c r="G742" s="2">
        <v>314</v>
      </c>
      <c r="H742" s="1">
        <v>508</v>
      </c>
      <c r="I742" s="2">
        <v>46</v>
      </c>
    </row>
    <row r="743" spans="1:9" ht="12.75" x14ac:dyDescent="0.2">
      <c r="A743" s="3">
        <v>45946</v>
      </c>
      <c r="B743" s="1" t="str">
        <f t="shared" si="18"/>
        <v>16/10/25 Jueves</v>
      </c>
      <c r="C743" s="1" t="s">
        <v>15</v>
      </c>
      <c r="D743" s="1">
        <v>737</v>
      </c>
      <c r="E743" s="2">
        <v>771</v>
      </c>
      <c r="F743" s="2">
        <v>577</v>
      </c>
      <c r="G743" s="2">
        <v>194</v>
      </c>
      <c r="H743" s="1">
        <v>525</v>
      </c>
      <c r="I743" s="2">
        <v>52</v>
      </c>
    </row>
    <row r="744" spans="1:9" ht="12.75" x14ac:dyDescent="0.2">
      <c r="A744" s="3">
        <v>45947</v>
      </c>
      <c r="B744" s="1" t="str">
        <f t="shared" si="18"/>
        <v>17/10/25 Viernes</v>
      </c>
      <c r="C744" s="1" t="s">
        <v>8</v>
      </c>
      <c r="D744" s="1">
        <v>697</v>
      </c>
      <c r="E744" s="2">
        <v>1141</v>
      </c>
      <c r="F744" s="2">
        <v>422</v>
      </c>
      <c r="G744" s="2">
        <v>719</v>
      </c>
      <c r="H744" s="1">
        <v>388</v>
      </c>
      <c r="I744" s="2">
        <v>34</v>
      </c>
    </row>
    <row r="745" spans="1:9" ht="12.75" x14ac:dyDescent="0.2">
      <c r="A745" s="3">
        <v>45947</v>
      </c>
      <c r="B745" s="1" t="str">
        <f t="shared" si="18"/>
        <v>17/10/25 Viernes</v>
      </c>
      <c r="C745" s="1" t="s">
        <v>9</v>
      </c>
      <c r="D745" s="1">
        <v>48</v>
      </c>
      <c r="E745" s="2">
        <v>48</v>
      </c>
      <c r="F745" s="2">
        <v>48</v>
      </c>
      <c r="G745" s="2">
        <v>0</v>
      </c>
      <c r="H745" s="1">
        <v>47</v>
      </c>
      <c r="I745" s="2">
        <v>1</v>
      </c>
    </row>
    <row r="746" spans="1:9" ht="12.75" x14ac:dyDescent="0.2">
      <c r="A746" s="3">
        <v>45947</v>
      </c>
      <c r="B746" s="1" t="str">
        <f t="shared" si="18"/>
        <v>17/10/25 Viernes</v>
      </c>
      <c r="C746" s="1" t="s">
        <v>10</v>
      </c>
      <c r="D746" s="1">
        <v>697</v>
      </c>
      <c r="E746" s="2">
        <v>710</v>
      </c>
      <c r="F746" s="2">
        <v>575</v>
      </c>
      <c r="G746" s="2">
        <v>135</v>
      </c>
      <c r="H746" s="1">
        <v>548</v>
      </c>
      <c r="I746" s="2">
        <v>27</v>
      </c>
    </row>
    <row r="747" spans="1:9" ht="12.75" x14ac:dyDescent="0.2">
      <c r="A747" s="3">
        <v>45947</v>
      </c>
      <c r="B747" s="1" t="str">
        <f t="shared" si="18"/>
        <v>17/10/25 Viernes</v>
      </c>
      <c r="C747" s="1" t="s">
        <v>11</v>
      </c>
      <c r="D747" s="1">
        <v>832</v>
      </c>
      <c r="E747" s="2">
        <v>1171</v>
      </c>
      <c r="F747" s="2">
        <v>1099</v>
      </c>
      <c r="G747" s="2">
        <v>72</v>
      </c>
      <c r="H747" s="1">
        <v>1083</v>
      </c>
      <c r="I747" s="2">
        <v>16</v>
      </c>
    </row>
    <row r="748" spans="1:9" ht="12.75" x14ac:dyDescent="0.2">
      <c r="A748" s="3">
        <v>45947</v>
      </c>
      <c r="B748" s="1" t="str">
        <f t="shared" si="18"/>
        <v>17/10/25 Viernes</v>
      </c>
      <c r="C748" s="1" t="s">
        <v>12</v>
      </c>
      <c r="D748" s="1">
        <v>352</v>
      </c>
      <c r="E748" s="2">
        <v>526</v>
      </c>
      <c r="F748" s="2">
        <v>201</v>
      </c>
      <c r="G748" s="2">
        <v>325</v>
      </c>
      <c r="H748" s="1">
        <v>183</v>
      </c>
      <c r="I748" s="2">
        <v>18</v>
      </c>
    </row>
    <row r="749" spans="1:9" ht="12.75" x14ac:dyDescent="0.2">
      <c r="A749" s="3">
        <v>45947</v>
      </c>
      <c r="B749" s="1" t="str">
        <f t="shared" si="18"/>
        <v>17/10/25 Viernes</v>
      </c>
      <c r="C749" s="1" t="s">
        <v>13</v>
      </c>
      <c r="D749" s="1">
        <v>926</v>
      </c>
      <c r="E749" s="2">
        <v>1034</v>
      </c>
      <c r="F749" s="2">
        <v>798</v>
      </c>
      <c r="G749" s="2">
        <v>236</v>
      </c>
      <c r="H749" s="1">
        <v>767</v>
      </c>
      <c r="I749" s="2">
        <v>31</v>
      </c>
    </row>
    <row r="750" spans="1:9" ht="12.75" x14ac:dyDescent="0.2">
      <c r="A750" s="3">
        <v>45947</v>
      </c>
      <c r="B750" s="1" t="str">
        <f t="shared" si="18"/>
        <v>17/10/25 Viernes</v>
      </c>
      <c r="C750" s="1" t="s">
        <v>14</v>
      </c>
      <c r="D750" s="1">
        <v>1099</v>
      </c>
      <c r="E750" s="2">
        <v>869</v>
      </c>
      <c r="F750" s="2">
        <v>420</v>
      </c>
      <c r="G750" s="2">
        <v>449</v>
      </c>
      <c r="H750" s="1">
        <v>383</v>
      </c>
      <c r="I750" s="2">
        <v>37</v>
      </c>
    </row>
    <row r="751" spans="1:9" ht="12.75" x14ac:dyDescent="0.2">
      <c r="A751" s="3">
        <v>45947</v>
      </c>
      <c r="B751" s="1" t="str">
        <f t="shared" si="18"/>
        <v>17/10/25 Viernes</v>
      </c>
      <c r="C751" s="1" t="s">
        <v>15</v>
      </c>
      <c r="D751" s="1">
        <v>663</v>
      </c>
      <c r="E751" s="2">
        <v>523</v>
      </c>
      <c r="F751" s="2">
        <v>271</v>
      </c>
      <c r="G751" s="2">
        <v>252</v>
      </c>
      <c r="H751" s="1">
        <v>239</v>
      </c>
      <c r="I751" s="2">
        <v>32</v>
      </c>
    </row>
    <row r="752" spans="1:9" ht="12.75" x14ac:dyDescent="0.2">
      <c r="A752" s="3">
        <v>45948</v>
      </c>
      <c r="B752" s="1" t="str">
        <f t="shared" si="18"/>
        <v>18/10/25 Sábado</v>
      </c>
      <c r="C752" s="1" t="s">
        <v>8</v>
      </c>
      <c r="D752" s="1">
        <v>690</v>
      </c>
      <c r="E752" s="2">
        <v>1137</v>
      </c>
      <c r="F752" s="2">
        <v>419</v>
      </c>
      <c r="G752" s="2">
        <v>718</v>
      </c>
      <c r="H752" s="1">
        <v>367</v>
      </c>
      <c r="I752" s="2">
        <v>52</v>
      </c>
    </row>
    <row r="753" spans="1:9" ht="12.75" x14ac:dyDescent="0.2">
      <c r="A753" s="3">
        <v>45948</v>
      </c>
      <c r="B753" s="1" t="str">
        <f t="shared" si="18"/>
        <v>18/10/25 Sábado</v>
      </c>
      <c r="C753" s="1" t="s">
        <v>9</v>
      </c>
      <c r="D753" s="1">
        <v>0</v>
      </c>
      <c r="E753" s="2">
        <v>0</v>
      </c>
      <c r="F753" s="2">
        <v>0</v>
      </c>
      <c r="G753" s="2">
        <v>0</v>
      </c>
      <c r="H753" s="1">
        <v>0</v>
      </c>
      <c r="I753" s="2">
        <v>0</v>
      </c>
    </row>
    <row r="754" spans="1:9" ht="12.75" x14ac:dyDescent="0.2">
      <c r="A754" s="3">
        <v>45948</v>
      </c>
      <c r="B754" s="1" t="str">
        <f t="shared" si="18"/>
        <v>18/10/25 Sábado</v>
      </c>
      <c r="C754" s="1" t="s">
        <v>10</v>
      </c>
      <c r="D754" s="1">
        <v>0</v>
      </c>
      <c r="E754" s="2">
        <v>0</v>
      </c>
      <c r="F754" s="2">
        <v>0</v>
      </c>
      <c r="G754" s="2">
        <v>0</v>
      </c>
      <c r="H754" s="1">
        <v>0</v>
      </c>
      <c r="I754" s="2">
        <v>0</v>
      </c>
    </row>
    <row r="755" spans="1:9" ht="12.75" x14ac:dyDescent="0.2">
      <c r="A755" s="3">
        <v>45948</v>
      </c>
      <c r="B755" s="1" t="str">
        <f t="shared" si="18"/>
        <v>18/10/25 Sábado</v>
      </c>
      <c r="C755" s="1" t="s">
        <v>11</v>
      </c>
      <c r="D755" s="1">
        <v>0</v>
      </c>
      <c r="E755" s="2">
        <v>50</v>
      </c>
      <c r="F755" s="2">
        <v>12</v>
      </c>
      <c r="G755" s="2">
        <v>38</v>
      </c>
      <c r="H755" s="1">
        <v>12</v>
      </c>
      <c r="I755" s="2">
        <v>0</v>
      </c>
    </row>
    <row r="756" spans="1:9" ht="12.75" x14ac:dyDescent="0.2">
      <c r="A756" s="3">
        <v>45948</v>
      </c>
      <c r="B756" s="1" t="str">
        <f t="shared" si="18"/>
        <v>18/10/25 Sábado</v>
      </c>
      <c r="C756" s="1" t="s">
        <v>12</v>
      </c>
      <c r="D756" s="1">
        <v>935</v>
      </c>
      <c r="E756" s="2">
        <v>771</v>
      </c>
      <c r="F756" s="2">
        <v>296</v>
      </c>
      <c r="G756" s="2">
        <v>475</v>
      </c>
      <c r="H756" s="1">
        <v>267</v>
      </c>
      <c r="I756" s="2">
        <v>29</v>
      </c>
    </row>
    <row r="757" spans="1:9" ht="12.75" x14ac:dyDescent="0.2">
      <c r="A757" s="3">
        <v>45948</v>
      </c>
      <c r="B757" s="1" t="str">
        <f t="shared" si="18"/>
        <v>18/10/25 Sábado</v>
      </c>
      <c r="C757" s="1" t="s">
        <v>13</v>
      </c>
      <c r="D757" s="1">
        <v>288</v>
      </c>
      <c r="E757" s="2">
        <v>282</v>
      </c>
      <c r="F757" s="2">
        <v>94</v>
      </c>
      <c r="G757" s="2">
        <v>188</v>
      </c>
      <c r="H757" s="1">
        <v>86</v>
      </c>
      <c r="I757" s="2">
        <v>8</v>
      </c>
    </row>
    <row r="758" spans="1:9" ht="12.75" x14ac:dyDescent="0.2">
      <c r="A758" s="3">
        <v>45948</v>
      </c>
      <c r="B758" s="1" t="str">
        <f t="shared" si="18"/>
        <v>18/10/25 Sábado</v>
      </c>
      <c r="C758" s="1" t="s">
        <v>14</v>
      </c>
      <c r="D758" s="1">
        <v>286</v>
      </c>
      <c r="E758" s="2">
        <v>577</v>
      </c>
      <c r="F758" s="2">
        <v>127</v>
      </c>
      <c r="G758" s="2">
        <v>450</v>
      </c>
      <c r="H758" s="1">
        <v>112</v>
      </c>
      <c r="I758" s="2">
        <v>15</v>
      </c>
    </row>
    <row r="759" spans="1:9" ht="12.75" x14ac:dyDescent="0.2">
      <c r="A759" s="3">
        <v>45948</v>
      </c>
      <c r="B759" s="1" t="str">
        <f t="shared" si="18"/>
        <v>18/10/25 Sábado</v>
      </c>
      <c r="C759" s="1" t="s">
        <v>15</v>
      </c>
      <c r="D759" s="1">
        <v>737</v>
      </c>
      <c r="E759" s="2">
        <v>435</v>
      </c>
      <c r="F759" s="2">
        <v>132</v>
      </c>
      <c r="G759" s="2">
        <v>303</v>
      </c>
      <c r="H759" s="1">
        <v>125</v>
      </c>
      <c r="I759" s="2">
        <v>7</v>
      </c>
    </row>
    <row r="760" spans="1:9" ht="12.75" x14ac:dyDescent="0.2">
      <c r="A760" s="3">
        <v>45949</v>
      </c>
      <c r="B760" s="1" t="str">
        <f t="shared" si="18"/>
        <v>19/10/25 Domingo</v>
      </c>
      <c r="C760" s="1" t="s">
        <v>8</v>
      </c>
      <c r="D760" s="1">
        <v>141</v>
      </c>
      <c r="E760" s="2">
        <v>278</v>
      </c>
      <c r="F760" s="2">
        <v>129</v>
      </c>
      <c r="G760" s="2">
        <v>149</v>
      </c>
      <c r="H760" s="1">
        <v>126</v>
      </c>
      <c r="I760" s="2">
        <v>3</v>
      </c>
    </row>
    <row r="761" spans="1:9" ht="12.75" x14ac:dyDescent="0.2">
      <c r="A761" s="3">
        <v>45949</v>
      </c>
      <c r="B761" s="1" t="str">
        <f t="shared" si="18"/>
        <v>19/10/25 Domingo</v>
      </c>
      <c r="C761" s="1" t="s">
        <v>9</v>
      </c>
      <c r="D761" s="1">
        <v>301</v>
      </c>
      <c r="E761" s="2">
        <v>144</v>
      </c>
      <c r="F761" s="2">
        <v>90</v>
      </c>
      <c r="G761" s="2">
        <v>54</v>
      </c>
      <c r="H761" s="1">
        <v>88</v>
      </c>
      <c r="I761" s="2">
        <v>2</v>
      </c>
    </row>
    <row r="762" spans="1:9" ht="12.75" x14ac:dyDescent="0.2">
      <c r="A762" s="3">
        <v>45949</v>
      </c>
      <c r="B762" s="1" t="str">
        <f t="shared" si="18"/>
        <v>19/10/25 Domingo</v>
      </c>
      <c r="C762" s="1" t="s">
        <v>10</v>
      </c>
      <c r="D762" s="1">
        <v>945</v>
      </c>
      <c r="E762" s="2">
        <v>675</v>
      </c>
      <c r="F762" s="2">
        <v>351</v>
      </c>
      <c r="G762" s="2">
        <v>324</v>
      </c>
      <c r="H762" s="1">
        <v>333</v>
      </c>
      <c r="I762" s="2">
        <v>18</v>
      </c>
    </row>
    <row r="763" spans="1:9" ht="12.75" x14ac:dyDescent="0.2">
      <c r="A763" s="3">
        <v>45949</v>
      </c>
      <c r="B763" s="1" t="str">
        <f t="shared" si="18"/>
        <v>19/10/25 Domingo</v>
      </c>
      <c r="C763" s="1" t="s">
        <v>11</v>
      </c>
      <c r="D763" s="1">
        <v>1783</v>
      </c>
      <c r="E763" s="2">
        <v>1168</v>
      </c>
      <c r="F763" s="2">
        <v>949</v>
      </c>
      <c r="G763" s="2">
        <v>219</v>
      </c>
      <c r="H763" s="1">
        <v>937</v>
      </c>
      <c r="I763" s="2">
        <v>12</v>
      </c>
    </row>
    <row r="764" spans="1:9" ht="12.75" x14ac:dyDescent="0.2">
      <c r="A764" s="3">
        <v>45949</v>
      </c>
      <c r="B764" s="1" t="str">
        <f t="shared" si="18"/>
        <v>19/10/25 Domingo</v>
      </c>
      <c r="C764" s="1" t="s">
        <v>12</v>
      </c>
      <c r="D764" s="1">
        <v>452</v>
      </c>
      <c r="E764" s="2">
        <v>106</v>
      </c>
      <c r="F764" s="2">
        <v>66</v>
      </c>
      <c r="G764" s="2">
        <v>40</v>
      </c>
      <c r="H764" s="1">
        <v>54</v>
      </c>
      <c r="I764" s="2">
        <v>12</v>
      </c>
    </row>
    <row r="765" spans="1:9" ht="12.75" x14ac:dyDescent="0.2">
      <c r="A765" s="3">
        <v>45949</v>
      </c>
      <c r="B765" s="1" t="str">
        <f t="shared" si="18"/>
        <v>19/10/25 Domingo</v>
      </c>
      <c r="C765" s="1" t="s">
        <v>13</v>
      </c>
      <c r="D765" s="1">
        <v>414</v>
      </c>
      <c r="E765" s="2">
        <v>497</v>
      </c>
      <c r="F765" s="2">
        <v>299</v>
      </c>
      <c r="G765" s="2">
        <v>198</v>
      </c>
      <c r="H765" s="1">
        <v>290</v>
      </c>
      <c r="I765" s="2">
        <v>9</v>
      </c>
    </row>
    <row r="766" spans="1:9" ht="12.75" x14ac:dyDescent="0.2">
      <c r="A766" s="3">
        <v>45949</v>
      </c>
      <c r="B766" s="1" t="str">
        <f t="shared" si="18"/>
        <v>19/10/25 Domingo</v>
      </c>
      <c r="C766" s="1" t="s">
        <v>14</v>
      </c>
      <c r="D766" s="1">
        <v>0</v>
      </c>
      <c r="E766" s="2">
        <v>141</v>
      </c>
      <c r="F766" s="2">
        <v>60</v>
      </c>
      <c r="G766" s="2">
        <v>81</v>
      </c>
      <c r="H766" s="1">
        <v>56</v>
      </c>
      <c r="I766" s="2">
        <v>4</v>
      </c>
    </row>
    <row r="767" spans="1:9" ht="12.75" x14ac:dyDescent="0.2">
      <c r="A767" s="3">
        <v>45949</v>
      </c>
      <c r="B767" s="1" t="str">
        <f t="shared" si="18"/>
        <v>19/10/25 Domingo</v>
      </c>
      <c r="C767" s="1" t="s">
        <v>15</v>
      </c>
      <c r="D767" s="1">
        <v>0</v>
      </c>
      <c r="E767" s="2">
        <v>88</v>
      </c>
      <c r="F767" s="2">
        <v>74</v>
      </c>
      <c r="G767" s="2">
        <v>14</v>
      </c>
      <c r="H767" s="1">
        <v>69</v>
      </c>
      <c r="I767" s="2">
        <v>5</v>
      </c>
    </row>
    <row r="768" spans="1:9" ht="12.75" x14ac:dyDescent="0.2">
      <c r="A768" s="3">
        <v>45950</v>
      </c>
      <c r="B768" s="1" t="str">
        <f t="shared" si="18"/>
        <v>20/10/25 Lunes</v>
      </c>
      <c r="C768" s="1" t="s">
        <v>8</v>
      </c>
      <c r="D768" s="1">
        <v>694</v>
      </c>
      <c r="E768" s="2">
        <v>519</v>
      </c>
      <c r="F768" s="2">
        <v>272</v>
      </c>
      <c r="G768" s="2">
        <v>247</v>
      </c>
      <c r="H768" s="1">
        <v>226</v>
      </c>
      <c r="I768" s="2">
        <v>46</v>
      </c>
    </row>
    <row r="769" spans="1:9" ht="12.75" x14ac:dyDescent="0.2">
      <c r="A769" s="3">
        <v>45950</v>
      </c>
      <c r="B769" s="1" t="str">
        <f t="shared" si="18"/>
        <v>20/10/25 Lunes</v>
      </c>
      <c r="C769" s="1" t="s">
        <v>9</v>
      </c>
      <c r="D769" s="1">
        <v>48</v>
      </c>
      <c r="E769" s="2">
        <v>164</v>
      </c>
      <c r="F769" s="2">
        <v>36</v>
      </c>
      <c r="G769" s="2">
        <v>128</v>
      </c>
      <c r="H769" s="1">
        <v>35</v>
      </c>
      <c r="I769" s="2">
        <v>1</v>
      </c>
    </row>
    <row r="770" spans="1:9" ht="12.75" x14ac:dyDescent="0.2">
      <c r="A770" s="3">
        <v>45950</v>
      </c>
      <c r="B770" s="1" t="str">
        <f t="shared" si="18"/>
        <v>20/10/25 Lunes</v>
      </c>
      <c r="C770" s="1" t="s">
        <v>10</v>
      </c>
      <c r="D770" s="1">
        <v>697</v>
      </c>
      <c r="E770" s="2">
        <v>991</v>
      </c>
      <c r="F770" s="2">
        <v>422</v>
      </c>
      <c r="G770" s="2">
        <v>569</v>
      </c>
      <c r="H770" s="1">
        <v>406</v>
      </c>
      <c r="I770" s="2">
        <v>16</v>
      </c>
    </row>
    <row r="771" spans="1:9" ht="12.75" x14ac:dyDescent="0.2">
      <c r="A771" s="3">
        <v>45950</v>
      </c>
      <c r="B771" s="1" t="str">
        <f t="shared" ref="B771:B834" si="19">PROPER(TEXT(A771,"[$-es-ES]dd/mm/yy dddd"))</f>
        <v>20/10/25 Lunes</v>
      </c>
      <c r="C771" s="1" t="s">
        <v>11</v>
      </c>
      <c r="D771" s="1">
        <v>951</v>
      </c>
      <c r="E771" s="2">
        <v>732</v>
      </c>
      <c r="F771" s="2">
        <v>554</v>
      </c>
      <c r="G771" s="2">
        <v>178</v>
      </c>
      <c r="H771" s="1">
        <v>542</v>
      </c>
      <c r="I771" s="2">
        <v>12</v>
      </c>
    </row>
    <row r="772" spans="1:9" ht="12.75" x14ac:dyDescent="0.2">
      <c r="A772" s="3">
        <v>45950</v>
      </c>
      <c r="B772" s="1" t="str">
        <f t="shared" si="19"/>
        <v>20/10/25 Lunes</v>
      </c>
      <c r="C772" s="1" t="s">
        <v>12</v>
      </c>
      <c r="D772" s="1">
        <v>452</v>
      </c>
      <c r="E772" s="2">
        <v>1308</v>
      </c>
      <c r="F772" s="2">
        <v>739</v>
      </c>
      <c r="G772" s="2">
        <v>569</v>
      </c>
      <c r="H772" s="1">
        <v>639</v>
      </c>
      <c r="I772" s="2">
        <v>100</v>
      </c>
    </row>
    <row r="773" spans="1:9" ht="12.75" x14ac:dyDescent="0.2">
      <c r="A773" s="3">
        <v>45950</v>
      </c>
      <c r="B773" s="1" t="str">
        <f t="shared" si="19"/>
        <v>20/10/25 Lunes</v>
      </c>
      <c r="C773" s="1" t="s">
        <v>13</v>
      </c>
      <c r="D773" s="1">
        <v>926</v>
      </c>
      <c r="E773" s="2">
        <v>679</v>
      </c>
      <c r="F773" s="2">
        <v>362</v>
      </c>
      <c r="G773" s="2">
        <v>317</v>
      </c>
      <c r="H773" s="1">
        <v>348</v>
      </c>
      <c r="I773" s="2">
        <v>14</v>
      </c>
    </row>
    <row r="774" spans="1:9" ht="12.75" x14ac:dyDescent="0.2">
      <c r="A774" s="3">
        <v>45950</v>
      </c>
      <c r="B774" s="1" t="str">
        <f t="shared" si="19"/>
        <v>20/10/25 Lunes</v>
      </c>
      <c r="C774" s="1" t="s">
        <v>14</v>
      </c>
      <c r="D774" s="1">
        <v>1099</v>
      </c>
      <c r="E774" s="2">
        <v>555</v>
      </c>
      <c r="F774" s="2">
        <v>212</v>
      </c>
      <c r="G774" s="2">
        <v>343</v>
      </c>
      <c r="H774" s="1">
        <v>184</v>
      </c>
      <c r="I774" s="2">
        <v>28</v>
      </c>
    </row>
    <row r="775" spans="1:9" ht="12.75" x14ac:dyDescent="0.2">
      <c r="A775" s="3">
        <v>45950</v>
      </c>
      <c r="B775" s="1" t="str">
        <f t="shared" si="19"/>
        <v>20/10/25 Lunes</v>
      </c>
      <c r="C775" s="1" t="s">
        <v>15</v>
      </c>
      <c r="D775" s="1">
        <v>663</v>
      </c>
      <c r="E775" s="2">
        <v>389</v>
      </c>
      <c r="F775" s="2">
        <v>85</v>
      </c>
      <c r="G775" s="2">
        <v>304</v>
      </c>
      <c r="H775" s="1">
        <v>76</v>
      </c>
      <c r="I775" s="2">
        <v>9</v>
      </c>
    </row>
    <row r="776" spans="1:9" ht="12.75" x14ac:dyDescent="0.2">
      <c r="A776" s="3">
        <v>45951</v>
      </c>
      <c r="B776" s="1" t="str">
        <f t="shared" si="19"/>
        <v>21/10/25 Martes</v>
      </c>
      <c r="C776" s="1" t="s">
        <v>8</v>
      </c>
      <c r="D776" s="1">
        <v>693</v>
      </c>
      <c r="E776" s="2">
        <v>1113</v>
      </c>
      <c r="F776" s="2">
        <v>492</v>
      </c>
      <c r="G776" s="2">
        <v>621</v>
      </c>
      <c r="H776" s="1">
        <v>448</v>
      </c>
      <c r="I776" s="2">
        <v>44</v>
      </c>
    </row>
    <row r="777" spans="1:9" ht="12.75" x14ac:dyDescent="0.2">
      <c r="A777" s="3">
        <v>45951</v>
      </c>
      <c r="B777" s="1" t="str">
        <f t="shared" si="19"/>
        <v>21/10/25 Martes</v>
      </c>
      <c r="C777" s="1" t="s">
        <v>9</v>
      </c>
      <c r="D777" s="1">
        <v>253</v>
      </c>
      <c r="E777" s="2">
        <v>177</v>
      </c>
      <c r="F777" s="2">
        <v>177</v>
      </c>
      <c r="G777" s="2">
        <v>0</v>
      </c>
      <c r="H777" s="1">
        <v>176</v>
      </c>
      <c r="I777" s="2">
        <v>1</v>
      </c>
    </row>
    <row r="778" spans="1:9" ht="12.75" x14ac:dyDescent="0.2">
      <c r="A778" s="3">
        <v>45951</v>
      </c>
      <c r="B778" s="1" t="str">
        <f t="shared" si="19"/>
        <v>21/10/25 Martes</v>
      </c>
      <c r="C778" s="1" t="s">
        <v>10</v>
      </c>
      <c r="D778" s="1">
        <v>945</v>
      </c>
      <c r="E778" s="2">
        <v>943</v>
      </c>
      <c r="F778" s="2">
        <v>597</v>
      </c>
      <c r="G778" s="2">
        <v>346</v>
      </c>
      <c r="H778" s="1">
        <v>581</v>
      </c>
      <c r="I778" s="2">
        <v>16</v>
      </c>
    </row>
    <row r="779" spans="1:9" ht="12.75" x14ac:dyDescent="0.2">
      <c r="A779" s="3">
        <v>45951</v>
      </c>
      <c r="B779" s="1" t="str">
        <f t="shared" si="19"/>
        <v>21/10/25 Martes</v>
      </c>
      <c r="C779" s="1" t="s">
        <v>11</v>
      </c>
      <c r="D779" s="1">
        <v>832</v>
      </c>
      <c r="E779" s="2">
        <v>1164</v>
      </c>
      <c r="F779" s="2">
        <v>1024</v>
      </c>
      <c r="G779" s="2">
        <v>140</v>
      </c>
      <c r="H779" s="1">
        <v>1012</v>
      </c>
      <c r="I779" s="2">
        <v>12</v>
      </c>
    </row>
    <row r="780" spans="1:9" ht="12.75" x14ac:dyDescent="0.2">
      <c r="A780" s="3">
        <v>45951</v>
      </c>
      <c r="B780" s="1" t="str">
        <f t="shared" si="19"/>
        <v>21/10/25 Martes</v>
      </c>
      <c r="C780" s="1" t="s">
        <v>12</v>
      </c>
      <c r="D780" s="1">
        <v>935</v>
      </c>
      <c r="E780" s="2">
        <v>674</v>
      </c>
      <c r="F780" s="2">
        <v>464</v>
      </c>
      <c r="G780" s="2">
        <v>210</v>
      </c>
      <c r="H780" s="1">
        <v>413</v>
      </c>
      <c r="I780" s="2">
        <v>51</v>
      </c>
    </row>
    <row r="781" spans="1:9" ht="12.75" x14ac:dyDescent="0.2">
      <c r="A781" s="3">
        <v>45951</v>
      </c>
      <c r="B781" s="1" t="str">
        <f t="shared" si="19"/>
        <v>21/10/25 Martes</v>
      </c>
      <c r="C781" s="1" t="s">
        <v>13</v>
      </c>
      <c r="D781" s="1">
        <v>480</v>
      </c>
      <c r="E781" s="2">
        <v>515</v>
      </c>
      <c r="F781" s="2">
        <v>215</v>
      </c>
      <c r="G781" s="2">
        <v>300</v>
      </c>
      <c r="H781" s="1">
        <v>201</v>
      </c>
      <c r="I781" s="2">
        <v>14</v>
      </c>
    </row>
    <row r="782" spans="1:9" ht="12.75" x14ac:dyDescent="0.2">
      <c r="A782" s="3">
        <v>45951</v>
      </c>
      <c r="B782" s="1" t="str">
        <f t="shared" si="19"/>
        <v>21/10/25 Martes</v>
      </c>
      <c r="C782" s="1" t="s">
        <v>14</v>
      </c>
      <c r="D782" s="1">
        <v>286</v>
      </c>
      <c r="E782" s="2">
        <v>1076</v>
      </c>
      <c r="F782" s="2">
        <v>528</v>
      </c>
      <c r="G782" s="2">
        <v>548</v>
      </c>
      <c r="H782" s="1">
        <v>459</v>
      </c>
      <c r="I782" s="2">
        <v>69</v>
      </c>
    </row>
    <row r="783" spans="1:9" ht="12.75" x14ac:dyDescent="0.2">
      <c r="A783" s="3">
        <v>45951</v>
      </c>
      <c r="B783" s="1" t="str">
        <f t="shared" si="19"/>
        <v>21/10/25 Martes</v>
      </c>
      <c r="C783" s="1" t="s">
        <v>15</v>
      </c>
      <c r="D783" s="1">
        <v>737</v>
      </c>
      <c r="E783" s="2">
        <v>186</v>
      </c>
      <c r="F783" s="2">
        <v>33</v>
      </c>
      <c r="G783" s="2">
        <v>153</v>
      </c>
      <c r="H783" s="1">
        <v>30</v>
      </c>
      <c r="I783" s="2">
        <v>3</v>
      </c>
    </row>
    <row r="784" spans="1:9" ht="12.75" x14ac:dyDescent="0.2">
      <c r="A784" s="3">
        <v>45952</v>
      </c>
      <c r="B784" s="1" t="str">
        <f t="shared" si="19"/>
        <v>22/10/25 Miércoles</v>
      </c>
      <c r="C784" s="1" t="s">
        <v>8</v>
      </c>
      <c r="D784" s="1">
        <v>694</v>
      </c>
      <c r="E784" s="2">
        <v>265</v>
      </c>
      <c r="F784" s="2">
        <v>164</v>
      </c>
      <c r="G784" s="2">
        <v>101</v>
      </c>
      <c r="H784" s="1">
        <v>141</v>
      </c>
      <c r="I784" s="2">
        <v>23</v>
      </c>
    </row>
    <row r="785" spans="1:9" ht="12.75" x14ac:dyDescent="0.2">
      <c r="A785" s="3">
        <v>45952</v>
      </c>
      <c r="B785" s="1" t="str">
        <f t="shared" si="19"/>
        <v>22/10/25 Miércoles</v>
      </c>
      <c r="C785" s="1" t="s">
        <v>9</v>
      </c>
      <c r="D785" s="1">
        <v>48</v>
      </c>
      <c r="E785" s="2">
        <v>144</v>
      </c>
      <c r="F785" s="2">
        <v>106</v>
      </c>
      <c r="G785" s="2">
        <v>38</v>
      </c>
      <c r="H785" s="1">
        <v>105</v>
      </c>
      <c r="I785" s="2">
        <v>1</v>
      </c>
    </row>
    <row r="786" spans="1:9" ht="12.75" x14ac:dyDescent="0.2">
      <c r="A786" s="3">
        <v>45952</v>
      </c>
      <c r="B786" s="1" t="str">
        <f t="shared" si="19"/>
        <v>22/10/25 Miércoles</v>
      </c>
      <c r="C786" s="1" t="s">
        <v>10</v>
      </c>
      <c r="D786" s="1">
        <v>697</v>
      </c>
      <c r="E786" s="2">
        <v>922</v>
      </c>
      <c r="F786" s="2">
        <v>775</v>
      </c>
      <c r="G786" s="2">
        <v>147</v>
      </c>
      <c r="H786" s="1">
        <v>760</v>
      </c>
      <c r="I786" s="2">
        <v>15</v>
      </c>
    </row>
    <row r="787" spans="1:9" ht="12.75" x14ac:dyDescent="0.2">
      <c r="A787" s="3">
        <v>45952</v>
      </c>
      <c r="B787" s="1" t="str">
        <f t="shared" si="19"/>
        <v>22/10/25 Miércoles</v>
      </c>
      <c r="C787" s="1" t="s">
        <v>11</v>
      </c>
      <c r="D787" s="1">
        <v>951</v>
      </c>
      <c r="E787" s="2">
        <v>755</v>
      </c>
      <c r="F787" s="2">
        <v>746</v>
      </c>
      <c r="G787" s="2">
        <v>9</v>
      </c>
      <c r="H787" s="1">
        <v>735</v>
      </c>
      <c r="I787" s="2">
        <v>11</v>
      </c>
    </row>
    <row r="788" spans="1:9" ht="12.75" x14ac:dyDescent="0.2">
      <c r="A788" s="3">
        <v>45952</v>
      </c>
      <c r="B788" s="1" t="str">
        <f t="shared" si="19"/>
        <v>22/10/25 Miércoles</v>
      </c>
      <c r="C788" s="1" t="s">
        <v>12</v>
      </c>
      <c r="D788" s="1">
        <v>452</v>
      </c>
      <c r="E788" s="2">
        <v>30</v>
      </c>
      <c r="F788" s="2">
        <v>19</v>
      </c>
      <c r="G788" s="2">
        <v>11</v>
      </c>
      <c r="H788" s="1">
        <v>8</v>
      </c>
      <c r="I788" s="2">
        <v>11</v>
      </c>
    </row>
    <row r="789" spans="1:9" ht="12.75" x14ac:dyDescent="0.2">
      <c r="A789" s="3">
        <v>45952</v>
      </c>
      <c r="B789" s="1" t="str">
        <f t="shared" si="19"/>
        <v>22/10/25 Miércoles</v>
      </c>
      <c r="C789" s="1" t="s">
        <v>13</v>
      </c>
      <c r="D789" s="1">
        <v>890</v>
      </c>
      <c r="E789" s="2">
        <v>732</v>
      </c>
      <c r="F789" s="2">
        <v>580</v>
      </c>
      <c r="G789" s="2">
        <v>152</v>
      </c>
      <c r="H789" s="1">
        <v>566</v>
      </c>
      <c r="I789" s="2">
        <v>14</v>
      </c>
    </row>
    <row r="790" spans="1:9" ht="12.75" x14ac:dyDescent="0.2">
      <c r="A790" s="3">
        <v>45952</v>
      </c>
      <c r="B790" s="1" t="str">
        <f t="shared" si="19"/>
        <v>22/10/25 Miércoles</v>
      </c>
      <c r="C790" s="1" t="s">
        <v>14</v>
      </c>
      <c r="D790" s="1">
        <v>1099</v>
      </c>
      <c r="E790" s="2">
        <v>385</v>
      </c>
      <c r="F790" s="2">
        <v>249</v>
      </c>
      <c r="G790" s="2">
        <v>136</v>
      </c>
      <c r="H790" s="1">
        <v>227</v>
      </c>
      <c r="I790" s="2">
        <v>22</v>
      </c>
    </row>
    <row r="791" spans="1:9" ht="12.75" x14ac:dyDescent="0.2">
      <c r="A791" s="3">
        <v>45952</v>
      </c>
      <c r="B791" s="1" t="str">
        <f t="shared" si="19"/>
        <v>22/10/25 Miércoles</v>
      </c>
      <c r="C791" s="1" t="s">
        <v>15</v>
      </c>
      <c r="D791" s="1">
        <v>663</v>
      </c>
      <c r="E791" s="2">
        <v>1383</v>
      </c>
      <c r="F791" s="2">
        <v>1110</v>
      </c>
      <c r="G791" s="2">
        <v>273</v>
      </c>
      <c r="H791" s="1">
        <v>1038</v>
      </c>
      <c r="I791" s="2">
        <v>72</v>
      </c>
    </row>
    <row r="792" spans="1:9" ht="12.75" x14ac:dyDescent="0.2">
      <c r="A792" s="3">
        <v>45953</v>
      </c>
      <c r="B792" s="1" t="str">
        <f t="shared" si="19"/>
        <v>23/10/25 Jueves</v>
      </c>
      <c r="C792" s="1" t="s">
        <v>8</v>
      </c>
      <c r="D792" s="1">
        <v>693</v>
      </c>
      <c r="E792" s="2">
        <v>668</v>
      </c>
      <c r="F792" s="2">
        <v>436</v>
      </c>
      <c r="G792" s="2">
        <v>232</v>
      </c>
      <c r="H792" s="1">
        <v>393</v>
      </c>
      <c r="I792" s="2">
        <v>43</v>
      </c>
    </row>
    <row r="793" spans="1:9" ht="12.75" x14ac:dyDescent="0.2">
      <c r="A793" s="3">
        <v>45953</v>
      </c>
      <c r="B793" s="1" t="str">
        <f t="shared" si="19"/>
        <v>23/10/25 Jueves</v>
      </c>
      <c r="C793" s="1" t="s">
        <v>9</v>
      </c>
      <c r="D793" s="1">
        <v>253</v>
      </c>
      <c r="E793" s="2">
        <v>195</v>
      </c>
      <c r="F793" s="2">
        <v>195</v>
      </c>
      <c r="G793" s="2">
        <v>0</v>
      </c>
      <c r="H793" s="1">
        <v>194</v>
      </c>
      <c r="I793" s="2">
        <v>1</v>
      </c>
    </row>
    <row r="794" spans="1:9" ht="12.75" x14ac:dyDescent="0.2">
      <c r="A794" s="3">
        <v>45953</v>
      </c>
      <c r="B794" s="1" t="str">
        <f t="shared" si="19"/>
        <v>23/10/25 Jueves</v>
      </c>
      <c r="C794" s="1" t="s">
        <v>10</v>
      </c>
      <c r="D794" s="1">
        <v>945</v>
      </c>
      <c r="E794" s="2">
        <v>737</v>
      </c>
      <c r="F794" s="2">
        <v>601</v>
      </c>
      <c r="G794" s="2">
        <v>136</v>
      </c>
      <c r="H794" s="1">
        <v>589</v>
      </c>
      <c r="I794" s="2">
        <v>12</v>
      </c>
    </row>
    <row r="795" spans="1:9" ht="12.75" x14ac:dyDescent="0.2">
      <c r="A795" s="3">
        <v>45953</v>
      </c>
      <c r="B795" s="1" t="str">
        <f t="shared" si="19"/>
        <v>23/10/25 Jueves</v>
      </c>
      <c r="C795" s="1" t="s">
        <v>11</v>
      </c>
      <c r="D795" s="1">
        <v>832</v>
      </c>
      <c r="E795" s="2">
        <v>1167</v>
      </c>
      <c r="F795" s="2">
        <v>1150</v>
      </c>
      <c r="G795" s="2">
        <v>17</v>
      </c>
      <c r="H795" s="1">
        <v>1141</v>
      </c>
      <c r="I795" s="2">
        <v>9</v>
      </c>
    </row>
    <row r="796" spans="1:9" ht="12.75" x14ac:dyDescent="0.2">
      <c r="A796" s="3">
        <v>45953</v>
      </c>
      <c r="B796" s="1" t="str">
        <f t="shared" si="19"/>
        <v>23/10/25 Jueves</v>
      </c>
      <c r="C796" s="1" t="s">
        <v>12</v>
      </c>
      <c r="D796" s="1">
        <v>935</v>
      </c>
      <c r="E796" s="2">
        <v>473</v>
      </c>
      <c r="F796" s="2">
        <v>331</v>
      </c>
      <c r="G796" s="2">
        <v>142</v>
      </c>
      <c r="H796" s="1">
        <v>307</v>
      </c>
      <c r="I796" s="2">
        <v>24</v>
      </c>
    </row>
    <row r="797" spans="1:9" ht="12.75" x14ac:dyDescent="0.2">
      <c r="A797" s="3">
        <v>45953</v>
      </c>
      <c r="B797" s="1" t="str">
        <f t="shared" si="19"/>
        <v>23/10/25 Jueves</v>
      </c>
      <c r="C797" s="1" t="s">
        <v>13</v>
      </c>
      <c r="D797" s="1">
        <v>510</v>
      </c>
      <c r="E797" s="2">
        <v>915</v>
      </c>
      <c r="F797" s="2">
        <v>649</v>
      </c>
      <c r="G797" s="2">
        <v>266</v>
      </c>
      <c r="H797" s="1">
        <v>617</v>
      </c>
      <c r="I797" s="2">
        <v>32</v>
      </c>
    </row>
    <row r="798" spans="1:9" ht="12.75" x14ac:dyDescent="0.2">
      <c r="A798" s="3">
        <v>45953</v>
      </c>
      <c r="B798" s="1" t="str">
        <f t="shared" si="19"/>
        <v>23/10/25 Jueves</v>
      </c>
      <c r="C798" s="1" t="s">
        <v>14</v>
      </c>
      <c r="D798" s="1">
        <v>286</v>
      </c>
      <c r="E798" s="2">
        <v>582</v>
      </c>
      <c r="F798" s="2">
        <v>284</v>
      </c>
      <c r="G798" s="2">
        <v>298</v>
      </c>
      <c r="H798" s="1">
        <v>241</v>
      </c>
      <c r="I798" s="2">
        <v>43</v>
      </c>
    </row>
    <row r="799" spans="1:9" ht="12.75" x14ac:dyDescent="0.2">
      <c r="A799" s="3">
        <v>45953</v>
      </c>
      <c r="B799" s="1" t="str">
        <f t="shared" si="19"/>
        <v>23/10/25 Jueves</v>
      </c>
      <c r="C799" s="1" t="s">
        <v>15</v>
      </c>
      <c r="D799" s="1">
        <v>737</v>
      </c>
      <c r="E799" s="2">
        <v>247</v>
      </c>
      <c r="F799" s="2">
        <v>247</v>
      </c>
      <c r="G799" s="2">
        <v>0</v>
      </c>
      <c r="H799" s="1">
        <v>228</v>
      </c>
      <c r="I799" s="2">
        <v>19</v>
      </c>
    </row>
    <row r="800" spans="1:9" ht="12.75" x14ac:dyDescent="0.2">
      <c r="A800" s="3">
        <v>45954</v>
      </c>
      <c r="B800" s="1" t="str">
        <f t="shared" si="19"/>
        <v>24/10/25 Viernes</v>
      </c>
      <c r="C800" s="1" t="s">
        <v>8</v>
      </c>
      <c r="D800" s="1">
        <v>694</v>
      </c>
      <c r="E800" s="2">
        <v>1278</v>
      </c>
      <c r="F800" s="2">
        <v>478</v>
      </c>
      <c r="G800" s="2">
        <v>800</v>
      </c>
      <c r="H800" s="1">
        <v>420</v>
      </c>
      <c r="I800" s="2">
        <v>58</v>
      </c>
    </row>
    <row r="801" spans="1:9" ht="12.75" x14ac:dyDescent="0.2">
      <c r="A801" s="3">
        <v>45954</v>
      </c>
      <c r="B801" s="1" t="str">
        <f t="shared" si="19"/>
        <v>24/10/25 Viernes</v>
      </c>
      <c r="C801" s="1" t="s">
        <v>9</v>
      </c>
      <c r="D801" s="1">
        <v>48</v>
      </c>
      <c r="E801" s="2">
        <v>48</v>
      </c>
      <c r="F801" s="2">
        <v>48</v>
      </c>
      <c r="G801" s="2">
        <v>0</v>
      </c>
      <c r="H801" s="1">
        <v>46</v>
      </c>
      <c r="I801" s="2">
        <v>2</v>
      </c>
    </row>
    <row r="802" spans="1:9" ht="12.75" x14ac:dyDescent="0.2">
      <c r="A802" s="3">
        <v>45954</v>
      </c>
      <c r="B802" s="1" t="str">
        <f t="shared" si="19"/>
        <v>24/10/25 Viernes</v>
      </c>
      <c r="C802" s="1" t="s">
        <v>10</v>
      </c>
      <c r="D802" s="1">
        <v>697</v>
      </c>
      <c r="E802" s="2">
        <v>1145</v>
      </c>
      <c r="F802" s="2">
        <v>946</v>
      </c>
      <c r="G802" s="2">
        <v>199</v>
      </c>
      <c r="H802" s="1">
        <v>930</v>
      </c>
      <c r="I802" s="2">
        <v>16</v>
      </c>
    </row>
    <row r="803" spans="1:9" ht="12.75" x14ac:dyDescent="0.2">
      <c r="A803" s="3">
        <v>45954</v>
      </c>
      <c r="B803" s="1" t="str">
        <f t="shared" si="19"/>
        <v>24/10/25 Viernes</v>
      </c>
      <c r="C803" s="1" t="s">
        <v>11</v>
      </c>
      <c r="D803" s="1">
        <v>951</v>
      </c>
      <c r="E803" s="2">
        <v>676</v>
      </c>
      <c r="F803" s="2">
        <v>676</v>
      </c>
      <c r="G803" s="2">
        <v>0</v>
      </c>
      <c r="H803" s="1">
        <v>667</v>
      </c>
      <c r="I803" s="2">
        <v>9</v>
      </c>
    </row>
    <row r="804" spans="1:9" ht="12.75" x14ac:dyDescent="0.2">
      <c r="A804" s="3">
        <v>45954</v>
      </c>
      <c r="B804" s="1" t="str">
        <f t="shared" si="19"/>
        <v>24/10/25 Viernes</v>
      </c>
      <c r="C804" s="1" t="s">
        <v>12</v>
      </c>
      <c r="D804" s="1">
        <v>452</v>
      </c>
      <c r="E804" s="2">
        <v>1193</v>
      </c>
      <c r="F804" s="2">
        <v>534</v>
      </c>
      <c r="G804" s="2">
        <v>659</v>
      </c>
      <c r="H804" s="1">
        <v>492</v>
      </c>
      <c r="I804" s="2">
        <v>42</v>
      </c>
    </row>
    <row r="805" spans="1:9" ht="12.75" x14ac:dyDescent="0.2">
      <c r="A805" s="3">
        <v>45954</v>
      </c>
      <c r="B805" s="1" t="str">
        <f t="shared" si="19"/>
        <v>24/10/25 Viernes</v>
      </c>
      <c r="C805" s="1" t="s">
        <v>13</v>
      </c>
      <c r="D805" s="1">
        <v>896</v>
      </c>
      <c r="E805" s="2">
        <v>840</v>
      </c>
      <c r="F805" s="2">
        <v>721</v>
      </c>
      <c r="G805" s="2">
        <v>119</v>
      </c>
      <c r="H805" s="1">
        <v>701</v>
      </c>
      <c r="I805" s="2">
        <v>20</v>
      </c>
    </row>
    <row r="806" spans="1:9" ht="12.75" x14ac:dyDescent="0.2">
      <c r="A806" s="3">
        <v>45954</v>
      </c>
      <c r="B806" s="1" t="str">
        <f t="shared" si="19"/>
        <v>24/10/25 Viernes</v>
      </c>
      <c r="C806" s="1" t="s">
        <v>14</v>
      </c>
      <c r="D806" s="1">
        <v>1099</v>
      </c>
      <c r="E806" s="2">
        <v>705</v>
      </c>
      <c r="F806" s="2">
        <v>188</v>
      </c>
      <c r="G806" s="2">
        <v>517</v>
      </c>
      <c r="H806" s="1">
        <v>163</v>
      </c>
      <c r="I806" s="2">
        <v>25</v>
      </c>
    </row>
    <row r="807" spans="1:9" ht="12.75" x14ac:dyDescent="0.2">
      <c r="A807" s="3">
        <v>45954</v>
      </c>
      <c r="B807" s="1" t="str">
        <f t="shared" si="19"/>
        <v>24/10/25 Viernes</v>
      </c>
      <c r="C807" s="1" t="s">
        <v>15</v>
      </c>
      <c r="D807" s="1">
        <v>663</v>
      </c>
      <c r="E807" s="2">
        <v>48</v>
      </c>
      <c r="F807" s="2">
        <v>24</v>
      </c>
      <c r="G807" s="2">
        <v>24</v>
      </c>
      <c r="H807" s="1">
        <v>23</v>
      </c>
      <c r="I807" s="2">
        <v>1</v>
      </c>
    </row>
    <row r="808" spans="1:9" ht="12.75" x14ac:dyDescent="0.2">
      <c r="A808" s="3">
        <v>45955</v>
      </c>
      <c r="B808" s="1" t="str">
        <f t="shared" si="19"/>
        <v>25/10/25 Sábado</v>
      </c>
      <c r="C808" s="1" t="s">
        <v>8</v>
      </c>
      <c r="D808" s="1">
        <v>693</v>
      </c>
      <c r="E808" s="2">
        <v>711</v>
      </c>
      <c r="F808" s="2">
        <v>507</v>
      </c>
      <c r="G808" s="2">
        <v>204</v>
      </c>
      <c r="H808" s="1">
        <v>466</v>
      </c>
      <c r="I808" s="2">
        <v>41</v>
      </c>
    </row>
    <row r="809" spans="1:9" ht="12.75" x14ac:dyDescent="0.2">
      <c r="A809" s="3">
        <v>45955</v>
      </c>
      <c r="B809" s="1" t="str">
        <f t="shared" si="19"/>
        <v>25/10/25 Sábado</v>
      </c>
      <c r="C809" s="1" t="s">
        <v>9</v>
      </c>
      <c r="D809" s="1">
        <v>0</v>
      </c>
      <c r="E809" s="2">
        <v>0</v>
      </c>
      <c r="F809" s="2">
        <v>0</v>
      </c>
      <c r="G809" s="2">
        <v>0</v>
      </c>
      <c r="H809" s="1">
        <v>0</v>
      </c>
      <c r="I809" s="2">
        <v>0</v>
      </c>
    </row>
    <row r="810" spans="1:9" ht="12.75" x14ac:dyDescent="0.2">
      <c r="A810" s="3">
        <v>45955</v>
      </c>
      <c r="B810" s="1" t="str">
        <f t="shared" si="19"/>
        <v>25/10/25 Sábado</v>
      </c>
      <c r="C810" s="1" t="s">
        <v>10</v>
      </c>
      <c r="D810" s="1">
        <v>0</v>
      </c>
      <c r="E810" s="2">
        <v>0</v>
      </c>
      <c r="F810" s="2">
        <v>0</v>
      </c>
      <c r="G810" s="2">
        <v>0</v>
      </c>
      <c r="H810" s="1">
        <v>0</v>
      </c>
      <c r="I810" s="2">
        <v>0</v>
      </c>
    </row>
    <row r="811" spans="1:9" ht="12.75" x14ac:dyDescent="0.2">
      <c r="A811" s="3">
        <v>45955</v>
      </c>
      <c r="B811" s="1" t="str">
        <f t="shared" si="19"/>
        <v>25/10/25 Sábado</v>
      </c>
      <c r="C811" s="1" t="s">
        <v>11</v>
      </c>
      <c r="D811" s="1">
        <v>0</v>
      </c>
      <c r="E811" s="2">
        <v>0</v>
      </c>
      <c r="F811" s="2">
        <v>0</v>
      </c>
      <c r="G811" s="2">
        <v>0</v>
      </c>
      <c r="H811" s="1">
        <v>0</v>
      </c>
      <c r="I811" s="2">
        <v>0</v>
      </c>
    </row>
    <row r="812" spans="1:9" ht="12.75" x14ac:dyDescent="0.2">
      <c r="A812" s="3">
        <v>45955</v>
      </c>
      <c r="B812" s="1" t="str">
        <f t="shared" si="19"/>
        <v>25/10/25 Sábado</v>
      </c>
      <c r="C812" s="1" t="s">
        <v>12</v>
      </c>
      <c r="D812" s="1">
        <v>935</v>
      </c>
      <c r="E812" s="2">
        <v>928</v>
      </c>
      <c r="F812" s="2">
        <v>514</v>
      </c>
      <c r="G812" s="2">
        <v>414</v>
      </c>
      <c r="H812" s="1">
        <v>461</v>
      </c>
      <c r="I812" s="2">
        <v>53</v>
      </c>
    </row>
    <row r="813" spans="1:9" ht="12.75" x14ac:dyDescent="0.2">
      <c r="A813" s="3">
        <v>45955</v>
      </c>
      <c r="B813" s="1" t="str">
        <f t="shared" si="19"/>
        <v>25/10/25 Sábado</v>
      </c>
      <c r="C813" s="1" t="s">
        <v>13</v>
      </c>
      <c r="D813" s="1">
        <v>288</v>
      </c>
      <c r="E813" s="2">
        <v>4</v>
      </c>
      <c r="F813" s="2">
        <v>4</v>
      </c>
      <c r="G813" s="2">
        <v>0</v>
      </c>
      <c r="H813" s="1">
        <v>4</v>
      </c>
      <c r="I813" s="2">
        <v>0</v>
      </c>
    </row>
    <row r="814" spans="1:9" ht="12.75" x14ac:dyDescent="0.2">
      <c r="A814" s="3">
        <v>45955</v>
      </c>
      <c r="B814" s="1" t="str">
        <f t="shared" si="19"/>
        <v>25/10/25 Sábado</v>
      </c>
      <c r="C814" s="1" t="s">
        <v>14</v>
      </c>
      <c r="D814" s="1">
        <v>286</v>
      </c>
      <c r="E814" s="2">
        <v>1053</v>
      </c>
      <c r="F814" s="2">
        <v>727</v>
      </c>
      <c r="G814" s="2">
        <v>326</v>
      </c>
      <c r="H814" s="1">
        <v>654</v>
      </c>
      <c r="I814" s="2">
        <v>73</v>
      </c>
    </row>
    <row r="815" spans="1:9" ht="12.75" x14ac:dyDescent="0.2">
      <c r="A815" s="3">
        <v>45955</v>
      </c>
      <c r="B815" s="1" t="str">
        <f t="shared" si="19"/>
        <v>25/10/25 Sábado</v>
      </c>
      <c r="C815" s="1" t="s">
        <v>15</v>
      </c>
      <c r="D815" s="1">
        <v>737</v>
      </c>
      <c r="E815" s="2">
        <v>18</v>
      </c>
      <c r="F815" s="2">
        <v>18</v>
      </c>
      <c r="G815" s="2">
        <v>0</v>
      </c>
      <c r="H815" s="1">
        <v>17</v>
      </c>
      <c r="I815" s="2">
        <v>1</v>
      </c>
    </row>
    <row r="816" spans="1:9" ht="12.75" x14ac:dyDescent="0.2">
      <c r="A816" s="3">
        <v>45956</v>
      </c>
      <c r="B816" s="1" t="str">
        <f t="shared" si="19"/>
        <v>26/10/25 Domingo</v>
      </c>
      <c r="C816" s="1" t="s">
        <v>8</v>
      </c>
      <c r="D816" s="1">
        <v>138</v>
      </c>
      <c r="E816" s="2">
        <v>98</v>
      </c>
      <c r="F816" s="2">
        <v>98</v>
      </c>
      <c r="G816" s="2">
        <v>0</v>
      </c>
      <c r="H816" s="1">
        <v>91</v>
      </c>
      <c r="I816" s="2">
        <v>7</v>
      </c>
    </row>
    <row r="817" spans="1:9" ht="12.75" x14ac:dyDescent="0.2">
      <c r="A817" s="3">
        <v>45956</v>
      </c>
      <c r="B817" s="1" t="str">
        <f t="shared" si="19"/>
        <v>26/10/25 Domingo</v>
      </c>
      <c r="C817" s="1" t="s">
        <v>9</v>
      </c>
      <c r="D817" s="1">
        <v>301</v>
      </c>
      <c r="E817" s="2">
        <v>253</v>
      </c>
      <c r="F817" s="2">
        <v>253</v>
      </c>
      <c r="G817" s="2">
        <v>0</v>
      </c>
      <c r="H817" s="1">
        <v>195</v>
      </c>
      <c r="I817" s="2">
        <v>58</v>
      </c>
    </row>
    <row r="818" spans="1:9" ht="12.75" x14ac:dyDescent="0.2">
      <c r="A818" s="3">
        <v>45956</v>
      </c>
      <c r="B818" s="1" t="str">
        <f t="shared" si="19"/>
        <v>26/10/25 Domingo</v>
      </c>
      <c r="C818" s="1" t="s">
        <v>10</v>
      </c>
      <c r="D818" s="1">
        <v>945</v>
      </c>
      <c r="E818" s="2">
        <v>850</v>
      </c>
      <c r="F818" s="2">
        <v>458</v>
      </c>
      <c r="G818" s="2">
        <v>392</v>
      </c>
      <c r="H818" s="1">
        <v>370</v>
      </c>
      <c r="I818" s="2">
        <v>88</v>
      </c>
    </row>
    <row r="819" spans="1:9" ht="12.75" x14ac:dyDescent="0.2">
      <c r="A819" s="3">
        <v>45956</v>
      </c>
      <c r="B819" s="1" t="str">
        <f t="shared" si="19"/>
        <v>26/10/25 Domingo</v>
      </c>
      <c r="C819" s="1" t="s">
        <v>11</v>
      </c>
      <c r="D819" s="1">
        <v>1783</v>
      </c>
      <c r="E819" s="2">
        <v>1161</v>
      </c>
      <c r="F819" s="2">
        <v>1161</v>
      </c>
      <c r="G819" s="2">
        <v>0</v>
      </c>
      <c r="H819" s="1">
        <v>1027</v>
      </c>
      <c r="I819" s="2">
        <v>134</v>
      </c>
    </row>
    <row r="820" spans="1:9" ht="12.75" x14ac:dyDescent="0.2">
      <c r="A820" s="3">
        <v>45956</v>
      </c>
      <c r="B820" s="1" t="str">
        <f t="shared" si="19"/>
        <v>26/10/25 Domingo</v>
      </c>
      <c r="C820" s="1" t="s">
        <v>12</v>
      </c>
      <c r="D820" s="1">
        <v>452</v>
      </c>
      <c r="E820" s="2">
        <v>100</v>
      </c>
      <c r="F820" s="2">
        <v>100</v>
      </c>
      <c r="G820" s="2">
        <v>0</v>
      </c>
      <c r="H820" s="1">
        <v>68</v>
      </c>
      <c r="I820" s="2">
        <v>32</v>
      </c>
    </row>
    <row r="821" spans="1:9" ht="12.75" x14ac:dyDescent="0.2">
      <c r="A821" s="3">
        <v>45956</v>
      </c>
      <c r="B821" s="1" t="str">
        <f t="shared" si="19"/>
        <v>26/10/25 Domingo</v>
      </c>
      <c r="C821" s="1" t="s">
        <v>13</v>
      </c>
      <c r="D821" s="1">
        <v>444</v>
      </c>
      <c r="E821" s="2">
        <v>408</v>
      </c>
      <c r="F821" s="2">
        <v>357</v>
      </c>
      <c r="G821" s="2">
        <v>51</v>
      </c>
      <c r="H821" s="1">
        <v>298</v>
      </c>
      <c r="I821" s="2">
        <v>59</v>
      </c>
    </row>
    <row r="822" spans="1:9" ht="12.75" x14ac:dyDescent="0.2">
      <c r="A822" s="3">
        <v>45956</v>
      </c>
      <c r="B822" s="1" t="str">
        <f t="shared" si="19"/>
        <v>26/10/25 Domingo</v>
      </c>
      <c r="C822" s="1" t="s">
        <v>14</v>
      </c>
      <c r="D822" s="1">
        <v>0</v>
      </c>
      <c r="E822" s="2">
        <v>0</v>
      </c>
      <c r="F822" s="2">
        <v>0</v>
      </c>
      <c r="G822" s="2">
        <v>0</v>
      </c>
      <c r="H822" s="1">
        <v>0</v>
      </c>
      <c r="I822" s="2">
        <v>0</v>
      </c>
    </row>
    <row r="823" spans="1:9" ht="12.75" x14ac:dyDescent="0.2">
      <c r="A823" s="3">
        <v>45956</v>
      </c>
      <c r="B823" s="1" t="str">
        <f t="shared" si="19"/>
        <v>26/10/25 Domingo</v>
      </c>
      <c r="C823" s="1" t="s">
        <v>15</v>
      </c>
      <c r="D823" s="1">
        <v>0</v>
      </c>
      <c r="E823" s="2">
        <v>67</v>
      </c>
      <c r="F823" s="2">
        <v>67</v>
      </c>
      <c r="G823" s="2">
        <v>0</v>
      </c>
      <c r="H823" s="1">
        <v>64</v>
      </c>
      <c r="I823" s="2">
        <v>3</v>
      </c>
    </row>
    <row r="824" spans="1:9" ht="12.75" x14ac:dyDescent="0.2">
      <c r="A824" s="3">
        <v>45957</v>
      </c>
      <c r="B824" s="1" t="str">
        <f t="shared" si="19"/>
        <v>27/10/25 Lunes</v>
      </c>
      <c r="C824" s="1" t="s">
        <v>8</v>
      </c>
      <c r="D824" s="1">
        <v>697</v>
      </c>
      <c r="E824" s="2">
        <v>471</v>
      </c>
      <c r="F824" s="2">
        <v>269</v>
      </c>
      <c r="G824" s="2">
        <v>202</v>
      </c>
      <c r="H824" s="1">
        <v>234</v>
      </c>
      <c r="I824" s="2">
        <v>35</v>
      </c>
    </row>
    <row r="825" spans="1:9" ht="12.75" x14ac:dyDescent="0.2">
      <c r="A825" s="3">
        <v>45957</v>
      </c>
      <c r="B825" s="1" t="str">
        <f t="shared" si="19"/>
        <v>27/10/25 Lunes</v>
      </c>
      <c r="C825" s="1" t="s">
        <v>9</v>
      </c>
      <c r="D825" s="1">
        <v>48</v>
      </c>
      <c r="E825" s="2">
        <v>105</v>
      </c>
      <c r="F825" s="2">
        <v>105</v>
      </c>
      <c r="G825" s="2">
        <v>0</v>
      </c>
      <c r="H825" s="1">
        <v>104</v>
      </c>
      <c r="I825" s="2">
        <v>1</v>
      </c>
    </row>
    <row r="826" spans="1:9" ht="12.75" x14ac:dyDescent="0.2">
      <c r="A826" s="3">
        <v>45957</v>
      </c>
      <c r="B826" s="1" t="str">
        <f t="shared" si="19"/>
        <v>27/10/25 Lunes</v>
      </c>
      <c r="C826" s="1" t="s">
        <v>10</v>
      </c>
      <c r="D826" s="1">
        <v>697</v>
      </c>
      <c r="E826" s="2">
        <v>1345</v>
      </c>
      <c r="F826" s="2">
        <v>574</v>
      </c>
      <c r="G826" s="2">
        <v>771</v>
      </c>
      <c r="H826" s="1">
        <v>559</v>
      </c>
      <c r="I826" s="2">
        <v>15</v>
      </c>
    </row>
    <row r="827" spans="1:9" ht="12.75" x14ac:dyDescent="0.2">
      <c r="A827" s="3">
        <v>45957</v>
      </c>
      <c r="B827" s="1" t="str">
        <f t="shared" si="19"/>
        <v>27/10/25 Lunes</v>
      </c>
      <c r="C827" s="1" t="s">
        <v>11</v>
      </c>
      <c r="D827" s="1">
        <v>832</v>
      </c>
      <c r="E827" s="2">
        <v>678</v>
      </c>
      <c r="F827" s="2">
        <v>530</v>
      </c>
      <c r="G827" s="2">
        <v>148</v>
      </c>
      <c r="H827" s="1">
        <v>527</v>
      </c>
      <c r="I827" s="2">
        <v>3</v>
      </c>
    </row>
    <row r="828" spans="1:9" ht="12.75" x14ac:dyDescent="0.2">
      <c r="A828" s="3">
        <v>45957</v>
      </c>
      <c r="B828" s="1" t="str">
        <f t="shared" si="19"/>
        <v>27/10/25 Lunes</v>
      </c>
      <c r="C828" s="1" t="s">
        <v>12</v>
      </c>
      <c r="D828" s="1">
        <v>352</v>
      </c>
      <c r="E828" s="2">
        <v>294</v>
      </c>
      <c r="F828" s="2">
        <v>142</v>
      </c>
      <c r="G828" s="2">
        <v>152</v>
      </c>
      <c r="H828" s="1">
        <v>129</v>
      </c>
      <c r="I828" s="2">
        <v>13</v>
      </c>
    </row>
    <row r="829" spans="1:9" ht="12.75" x14ac:dyDescent="0.2">
      <c r="A829" s="3">
        <v>45957</v>
      </c>
      <c r="B829" s="1" t="str">
        <f t="shared" si="19"/>
        <v>27/10/25 Lunes</v>
      </c>
      <c r="C829" s="1" t="s">
        <v>13</v>
      </c>
      <c r="D829" s="1">
        <v>896</v>
      </c>
      <c r="E829" s="2">
        <v>752</v>
      </c>
      <c r="F829" s="2">
        <v>344</v>
      </c>
      <c r="G829" s="2">
        <v>408</v>
      </c>
      <c r="H829" s="1">
        <v>336</v>
      </c>
      <c r="I829" s="2">
        <v>8</v>
      </c>
    </row>
    <row r="830" spans="1:9" ht="12.75" x14ac:dyDescent="0.2">
      <c r="A830" s="3">
        <v>45957</v>
      </c>
      <c r="B830" s="1" t="str">
        <f t="shared" si="19"/>
        <v>27/10/25 Lunes</v>
      </c>
      <c r="C830" s="1" t="s">
        <v>14</v>
      </c>
      <c r="D830" s="1">
        <v>1099</v>
      </c>
      <c r="E830" s="2">
        <v>213</v>
      </c>
      <c r="F830" s="2">
        <v>69</v>
      </c>
      <c r="G830" s="2">
        <v>144</v>
      </c>
      <c r="H830" s="1">
        <v>61</v>
      </c>
      <c r="I830" s="2">
        <v>8</v>
      </c>
    </row>
    <row r="831" spans="1:9" ht="12.75" x14ac:dyDescent="0.2">
      <c r="A831" s="3">
        <v>45957</v>
      </c>
      <c r="B831" s="1" t="str">
        <f t="shared" si="19"/>
        <v>27/10/25 Lunes</v>
      </c>
      <c r="C831" s="1" t="s">
        <v>15</v>
      </c>
      <c r="D831" s="1">
        <v>663</v>
      </c>
      <c r="E831" s="2">
        <v>1854</v>
      </c>
      <c r="F831" s="2">
        <v>1264</v>
      </c>
      <c r="G831" s="2">
        <v>590</v>
      </c>
      <c r="H831" s="1">
        <v>1172</v>
      </c>
      <c r="I831" s="2">
        <v>92</v>
      </c>
    </row>
    <row r="832" spans="1:9" ht="12.75" x14ac:dyDescent="0.2">
      <c r="A832" s="3">
        <v>45958</v>
      </c>
      <c r="B832" s="1" t="str">
        <f t="shared" si="19"/>
        <v>28/10/25 Martes</v>
      </c>
      <c r="C832" s="1" t="s">
        <v>8</v>
      </c>
      <c r="D832" s="1">
        <v>690</v>
      </c>
      <c r="E832" s="2">
        <v>221</v>
      </c>
      <c r="F832" s="2">
        <v>127</v>
      </c>
      <c r="G832" s="2">
        <v>94</v>
      </c>
      <c r="H832" s="1">
        <v>113</v>
      </c>
      <c r="I832" s="2">
        <v>14</v>
      </c>
    </row>
    <row r="833" spans="1:9" ht="12.75" x14ac:dyDescent="0.2">
      <c r="A833" s="3">
        <v>45958</v>
      </c>
      <c r="B833" s="1" t="str">
        <f t="shared" si="19"/>
        <v>28/10/25 Martes</v>
      </c>
      <c r="C833" s="1" t="s">
        <v>9</v>
      </c>
      <c r="D833" s="1">
        <v>253</v>
      </c>
      <c r="E833" s="2">
        <v>0</v>
      </c>
      <c r="F833" s="2">
        <v>0</v>
      </c>
      <c r="G833" s="2">
        <v>0</v>
      </c>
      <c r="H833" s="1">
        <v>0</v>
      </c>
      <c r="I833" s="2">
        <v>0</v>
      </c>
    </row>
    <row r="834" spans="1:9" ht="12.75" x14ac:dyDescent="0.2">
      <c r="A834" s="3">
        <v>45958</v>
      </c>
      <c r="B834" s="1" t="str">
        <f t="shared" si="19"/>
        <v>28/10/25 Martes</v>
      </c>
      <c r="C834" s="1" t="s">
        <v>10</v>
      </c>
      <c r="D834" s="1">
        <v>945</v>
      </c>
      <c r="E834" s="2">
        <v>0</v>
      </c>
      <c r="F834" s="2">
        <v>0</v>
      </c>
      <c r="G834" s="2">
        <v>0</v>
      </c>
      <c r="H834" s="1">
        <v>0</v>
      </c>
      <c r="I834" s="2">
        <v>0</v>
      </c>
    </row>
    <row r="835" spans="1:9" ht="12.75" x14ac:dyDescent="0.2">
      <c r="A835" s="3">
        <v>45958</v>
      </c>
      <c r="B835" s="1" t="str">
        <f t="shared" ref="B835:B898" si="20">PROPER(TEXT(A835,"[$-es-ES]dd/mm/yy dddd"))</f>
        <v>28/10/25 Martes</v>
      </c>
      <c r="C835" s="1" t="s">
        <v>11</v>
      </c>
      <c r="D835" s="1">
        <v>951</v>
      </c>
      <c r="E835" s="2">
        <v>16</v>
      </c>
      <c r="F835" s="2">
        <v>3</v>
      </c>
      <c r="G835" s="2">
        <v>13</v>
      </c>
      <c r="H835" s="1">
        <v>2</v>
      </c>
      <c r="I835" s="2">
        <v>1</v>
      </c>
    </row>
    <row r="836" spans="1:9" ht="12.75" x14ac:dyDescent="0.2">
      <c r="A836" s="3">
        <v>45958</v>
      </c>
      <c r="B836" s="1" t="str">
        <f t="shared" si="20"/>
        <v>28/10/25 Martes</v>
      </c>
      <c r="C836" s="1" t="s">
        <v>12</v>
      </c>
      <c r="D836" s="1">
        <v>1035</v>
      </c>
      <c r="E836" s="2">
        <v>360</v>
      </c>
      <c r="F836" s="2">
        <v>258</v>
      </c>
      <c r="G836" s="2">
        <v>102</v>
      </c>
      <c r="H836" s="1">
        <v>237</v>
      </c>
      <c r="I836" s="2">
        <v>21</v>
      </c>
    </row>
    <row r="837" spans="1:9" ht="12.75" x14ac:dyDescent="0.2">
      <c r="A837" s="3">
        <v>45958</v>
      </c>
      <c r="B837" s="1" t="str">
        <f t="shared" si="20"/>
        <v>28/10/25 Martes</v>
      </c>
      <c r="C837" s="1" t="s">
        <v>13</v>
      </c>
      <c r="D837" s="1">
        <v>474</v>
      </c>
      <c r="E837" s="2">
        <v>538</v>
      </c>
      <c r="F837" s="2">
        <v>449</v>
      </c>
      <c r="G837" s="2">
        <v>89</v>
      </c>
      <c r="H837" s="1">
        <v>408</v>
      </c>
      <c r="I837" s="2">
        <v>41</v>
      </c>
    </row>
    <row r="838" spans="1:9" ht="12.75" x14ac:dyDescent="0.2">
      <c r="A838" s="3">
        <v>45958</v>
      </c>
      <c r="B838" s="1" t="str">
        <f t="shared" si="20"/>
        <v>28/10/25 Martes</v>
      </c>
      <c r="C838" s="1" t="s">
        <v>14</v>
      </c>
      <c r="D838" s="1">
        <v>286</v>
      </c>
      <c r="E838" s="2">
        <v>606</v>
      </c>
      <c r="F838" s="2">
        <v>455</v>
      </c>
      <c r="G838" s="2">
        <v>151</v>
      </c>
      <c r="H838" s="1">
        <v>402</v>
      </c>
      <c r="I838" s="2">
        <v>53</v>
      </c>
    </row>
    <row r="839" spans="1:9" ht="12.75" x14ac:dyDescent="0.2">
      <c r="A839" s="3">
        <v>45958</v>
      </c>
      <c r="B839" s="1" t="str">
        <f t="shared" si="20"/>
        <v>28/10/25 Martes</v>
      </c>
      <c r="C839" s="1" t="s">
        <v>15</v>
      </c>
      <c r="D839" s="1">
        <v>737</v>
      </c>
      <c r="E839" s="2">
        <v>148</v>
      </c>
      <c r="F839" s="2">
        <v>86</v>
      </c>
      <c r="G839" s="2">
        <v>62</v>
      </c>
      <c r="H839" s="1">
        <v>78</v>
      </c>
      <c r="I839" s="2">
        <v>8</v>
      </c>
    </row>
    <row r="840" spans="1:9" ht="12.75" x14ac:dyDescent="0.2">
      <c r="A840" s="3">
        <v>45959</v>
      </c>
      <c r="B840" s="1" t="str">
        <f t="shared" si="20"/>
        <v>29/10/25 Miércoles</v>
      </c>
      <c r="C840" s="1" t="s">
        <v>8</v>
      </c>
      <c r="D840" s="1">
        <v>697</v>
      </c>
      <c r="E840" s="2">
        <v>0</v>
      </c>
      <c r="F840" s="2">
        <v>0</v>
      </c>
      <c r="G840" s="2">
        <v>0</v>
      </c>
      <c r="H840" s="1">
        <v>0</v>
      </c>
      <c r="I840" s="2">
        <v>0</v>
      </c>
    </row>
    <row r="841" spans="1:9" ht="12.75" x14ac:dyDescent="0.2">
      <c r="A841" s="3">
        <v>45959</v>
      </c>
      <c r="B841" s="1" t="str">
        <f t="shared" si="20"/>
        <v>29/10/25 Miércoles</v>
      </c>
      <c r="C841" s="1" t="s">
        <v>9</v>
      </c>
      <c r="D841" s="1">
        <v>48</v>
      </c>
      <c r="E841" s="2">
        <v>48</v>
      </c>
      <c r="F841" s="2">
        <v>48</v>
      </c>
      <c r="G841" s="2">
        <v>0</v>
      </c>
      <c r="H841" s="1">
        <v>47</v>
      </c>
      <c r="I841" s="2">
        <v>1</v>
      </c>
    </row>
    <row r="842" spans="1:9" ht="12.75" x14ac:dyDescent="0.2">
      <c r="A842" s="3">
        <v>45959</v>
      </c>
      <c r="B842" s="1" t="str">
        <f t="shared" si="20"/>
        <v>29/10/25 Miércoles</v>
      </c>
      <c r="C842" s="1" t="s">
        <v>10</v>
      </c>
      <c r="D842" s="1">
        <v>697</v>
      </c>
      <c r="E842" s="2">
        <v>884</v>
      </c>
      <c r="F842" s="2">
        <v>539</v>
      </c>
      <c r="G842" s="2">
        <v>345</v>
      </c>
      <c r="H842" s="1">
        <v>521</v>
      </c>
      <c r="I842" s="2">
        <v>18</v>
      </c>
    </row>
    <row r="843" spans="1:9" ht="12.75" x14ac:dyDescent="0.2">
      <c r="A843" s="3">
        <v>45959</v>
      </c>
      <c r="B843" s="1" t="str">
        <f t="shared" si="20"/>
        <v>29/10/25 Miércoles</v>
      </c>
      <c r="C843" s="1" t="s">
        <v>11</v>
      </c>
      <c r="D843" s="1">
        <v>708</v>
      </c>
      <c r="E843" s="2">
        <v>1161</v>
      </c>
      <c r="F843" s="2">
        <v>986</v>
      </c>
      <c r="G843" s="2">
        <v>175</v>
      </c>
      <c r="H843" s="1">
        <v>972</v>
      </c>
      <c r="I843" s="2">
        <v>14</v>
      </c>
    </row>
    <row r="844" spans="1:9" ht="12.75" x14ac:dyDescent="0.2">
      <c r="A844" s="3">
        <v>45959</v>
      </c>
      <c r="B844" s="1" t="str">
        <f t="shared" si="20"/>
        <v>29/10/25 Miércoles</v>
      </c>
      <c r="C844" s="1" t="s">
        <v>12</v>
      </c>
      <c r="D844" s="1">
        <v>352</v>
      </c>
      <c r="E844" s="2">
        <v>0</v>
      </c>
      <c r="F844" s="2">
        <v>0</v>
      </c>
      <c r="G844" s="2">
        <v>0</v>
      </c>
      <c r="H844" s="1">
        <v>0</v>
      </c>
      <c r="I844" s="2">
        <v>0</v>
      </c>
    </row>
    <row r="845" spans="1:9" ht="12.75" x14ac:dyDescent="0.2">
      <c r="A845" s="3">
        <v>45959</v>
      </c>
      <c r="B845" s="1" t="str">
        <f t="shared" si="20"/>
        <v>29/10/25 Miércoles</v>
      </c>
      <c r="C845" s="1" t="s">
        <v>13</v>
      </c>
      <c r="D845" s="1">
        <v>926</v>
      </c>
      <c r="E845" s="2">
        <v>466</v>
      </c>
      <c r="F845" s="2">
        <v>315</v>
      </c>
      <c r="G845" s="2">
        <v>151</v>
      </c>
      <c r="H845" s="1">
        <v>308</v>
      </c>
      <c r="I845" s="2">
        <v>7</v>
      </c>
    </row>
    <row r="846" spans="1:9" ht="12.75" x14ac:dyDescent="0.2">
      <c r="A846" s="3">
        <v>45959</v>
      </c>
      <c r="B846" s="1" t="str">
        <f t="shared" si="20"/>
        <v>29/10/25 Miércoles</v>
      </c>
      <c r="C846" s="1" t="s">
        <v>14</v>
      </c>
      <c r="D846" s="1">
        <v>1099</v>
      </c>
      <c r="E846" s="2">
        <v>0</v>
      </c>
      <c r="F846" s="2">
        <v>0</v>
      </c>
      <c r="G846" s="2">
        <v>0</v>
      </c>
      <c r="H846" s="1">
        <v>0</v>
      </c>
      <c r="I846" s="2">
        <v>0</v>
      </c>
    </row>
    <row r="847" spans="1:9" ht="12.75" x14ac:dyDescent="0.2">
      <c r="A847" s="3">
        <v>45959</v>
      </c>
      <c r="B847" s="1" t="str">
        <f t="shared" si="20"/>
        <v>29/10/25 Miércoles</v>
      </c>
      <c r="C847" s="1" t="s">
        <v>15</v>
      </c>
      <c r="D847" s="1">
        <v>663</v>
      </c>
      <c r="E847" s="2">
        <v>0</v>
      </c>
      <c r="F847" s="2">
        <v>0</v>
      </c>
      <c r="G847" s="2">
        <v>0</v>
      </c>
      <c r="H847" s="1">
        <v>0</v>
      </c>
      <c r="I847" s="2">
        <v>0</v>
      </c>
    </row>
    <row r="848" spans="1:9" ht="12.75" x14ac:dyDescent="0.2">
      <c r="A848" s="3">
        <v>45960</v>
      </c>
      <c r="B848" s="1" t="str">
        <f t="shared" si="20"/>
        <v>30/10/25 Jueves</v>
      </c>
      <c r="C848" s="1" t="s">
        <v>8</v>
      </c>
      <c r="D848" s="1">
        <v>690</v>
      </c>
      <c r="E848" s="2">
        <v>1727</v>
      </c>
      <c r="F848" s="2">
        <v>933</v>
      </c>
      <c r="G848" s="2">
        <v>794</v>
      </c>
      <c r="H848" s="1">
        <v>822</v>
      </c>
      <c r="I848" s="2">
        <v>111</v>
      </c>
    </row>
    <row r="849" spans="1:9" ht="12.75" x14ac:dyDescent="0.2">
      <c r="A849" s="3">
        <v>45960</v>
      </c>
      <c r="B849" s="1" t="str">
        <f t="shared" si="20"/>
        <v>30/10/25 Jueves</v>
      </c>
      <c r="C849" s="1" t="s">
        <v>9</v>
      </c>
      <c r="D849" s="1">
        <v>253</v>
      </c>
      <c r="E849" s="2">
        <v>253</v>
      </c>
      <c r="F849" s="2">
        <v>151</v>
      </c>
      <c r="G849" s="2">
        <v>102</v>
      </c>
      <c r="H849" s="1">
        <v>148</v>
      </c>
      <c r="I849" s="2">
        <v>3</v>
      </c>
    </row>
    <row r="850" spans="1:9" ht="12.75" x14ac:dyDescent="0.2">
      <c r="A850" s="3">
        <v>45960</v>
      </c>
      <c r="B850" s="1" t="str">
        <f t="shared" si="20"/>
        <v>30/10/25 Jueves</v>
      </c>
      <c r="C850" s="1" t="s">
        <v>10</v>
      </c>
      <c r="D850" s="1">
        <v>945</v>
      </c>
      <c r="E850" s="2">
        <v>1063</v>
      </c>
      <c r="F850" s="2">
        <v>807</v>
      </c>
      <c r="G850" s="2">
        <v>256</v>
      </c>
      <c r="H850" s="1">
        <v>785</v>
      </c>
      <c r="I850" s="2">
        <v>22</v>
      </c>
    </row>
    <row r="851" spans="1:9" ht="12.75" x14ac:dyDescent="0.2">
      <c r="A851" s="3">
        <v>45960</v>
      </c>
      <c r="B851" s="1" t="str">
        <f t="shared" si="20"/>
        <v>30/10/25 Jueves</v>
      </c>
      <c r="C851" s="1" t="s">
        <v>11</v>
      </c>
      <c r="D851" s="1">
        <v>951</v>
      </c>
      <c r="E851" s="2">
        <v>769</v>
      </c>
      <c r="F851" s="2">
        <v>671</v>
      </c>
      <c r="G851" s="2">
        <v>98</v>
      </c>
      <c r="H851" s="1">
        <v>663</v>
      </c>
      <c r="I851" s="2">
        <v>8</v>
      </c>
    </row>
    <row r="852" spans="1:9" ht="12.75" x14ac:dyDescent="0.2">
      <c r="A852" s="3">
        <v>45960</v>
      </c>
      <c r="B852" s="1" t="str">
        <f t="shared" si="20"/>
        <v>30/10/25 Jueves</v>
      </c>
      <c r="C852" s="1" t="s">
        <v>12</v>
      </c>
      <c r="D852" s="1">
        <v>1035</v>
      </c>
      <c r="E852" s="2">
        <v>864</v>
      </c>
      <c r="F852" s="2">
        <v>600</v>
      </c>
      <c r="G852" s="2">
        <v>264</v>
      </c>
      <c r="H852" s="1">
        <v>539</v>
      </c>
      <c r="I852" s="2">
        <v>61</v>
      </c>
    </row>
    <row r="853" spans="1:9" ht="12.75" x14ac:dyDescent="0.2">
      <c r="A853" s="3">
        <v>45960</v>
      </c>
      <c r="B853" s="1" t="str">
        <f t="shared" si="20"/>
        <v>30/10/25 Jueves</v>
      </c>
      <c r="C853" s="1" t="s">
        <v>13</v>
      </c>
      <c r="D853" s="1">
        <v>480</v>
      </c>
      <c r="E853" s="2">
        <v>885</v>
      </c>
      <c r="F853" s="2">
        <v>598</v>
      </c>
      <c r="G853" s="2">
        <v>287</v>
      </c>
      <c r="H853" s="1">
        <v>578</v>
      </c>
      <c r="I853" s="2">
        <v>20</v>
      </c>
    </row>
    <row r="854" spans="1:9" ht="12.75" x14ac:dyDescent="0.2">
      <c r="A854" s="3">
        <v>45960</v>
      </c>
      <c r="B854" s="1" t="str">
        <f t="shared" si="20"/>
        <v>30/10/25 Jueves</v>
      </c>
      <c r="C854" s="1" t="s">
        <v>14</v>
      </c>
      <c r="D854" s="1">
        <v>286</v>
      </c>
      <c r="E854" s="2">
        <v>122</v>
      </c>
      <c r="F854" s="2">
        <v>65</v>
      </c>
      <c r="G854" s="2">
        <v>57</v>
      </c>
      <c r="H854" s="1">
        <v>56</v>
      </c>
      <c r="I854" s="2">
        <v>9</v>
      </c>
    </row>
    <row r="855" spans="1:9" ht="12.75" x14ac:dyDescent="0.2">
      <c r="A855" s="3">
        <v>45960</v>
      </c>
      <c r="B855" s="1" t="str">
        <f t="shared" si="20"/>
        <v>30/10/25 Jueves</v>
      </c>
      <c r="C855" s="1" t="s">
        <v>15</v>
      </c>
      <c r="D855" s="1">
        <v>737</v>
      </c>
      <c r="E855" s="2">
        <v>0</v>
      </c>
      <c r="F855" s="2">
        <v>0</v>
      </c>
      <c r="G855" s="2">
        <v>0</v>
      </c>
      <c r="H855" s="1">
        <v>0</v>
      </c>
      <c r="I855" s="2">
        <v>0</v>
      </c>
    </row>
    <row r="856" spans="1:9" ht="12.75" x14ac:dyDescent="0.2">
      <c r="A856" s="3">
        <v>45961</v>
      </c>
      <c r="B856" s="1" t="str">
        <f t="shared" si="20"/>
        <v>31/10/25 Viernes</v>
      </c>
      <c r="C856" s="1" t="s">
        <v>8</v>
      </c>
      <c r="D856" s="1">
        <v>697</v>
      </c>
      <c r="E856" s="2">
        <v>462</v>
      </c>
      <c r="F856" s="2">
        <v>225</v>
      </c>
      <c r="G856" s="2">
        <v>237</v>
      </c>
      <c r="H856" s="1">
        <v>192</v>
      </c>
      <c r="I856" s="2">
        <v>33</v>
      </c>
    </row>
    <row r="857" spans="1:9" ht="12.75" x14ac:dyDescent="0.2">
      <c r="A857" s="3">
        <v>45961</v>
      </c>
      <c r="B857" s="1" t="str">
        <f t="shared" si="20"/>
        <v>31/10/25 Viernes</v>
      </c>
      <c r="C857" s="1" t="s">
        <v>9</v>
      </c>
      <c r="D857" s="1">
        <v>48</v>
      </c>
      <c r="E857" s="2">
        <v>152</v>
      </c>
      <c r="F857" s="2">
        <v>125</v>
      </c>
      <c r="G857" s="2">
        <v>27</v>
      </c>
      <c r="H857" s="1">
        <v>123</v>
      </c>
      <c r="I857" s="2">
        <v>2</v>
      </c>
    </row>
    <row r="858" spans="1:9" ht="12.75" x14ac:dyDescent="0.2">
      <c r="A858" s="3">
        <v>45961</v>
      </c>
      <c r="B858" s="1" t="str">
        <f t="shared" si="20"/>
        <v>31/10/25 Viernes</v>
      </c>
      <c r="C858" s="1" t="s">
        <v>10</v>
      </c>
      <c r="D858" s="1">
        <v>697</v>
      </c>
      <c r="E858" s="2">
        <v>654</v>
      </c>
      <c r="F858" s="2">
        <v>577</v>
      </c>
      <c r="G858" s="2">
        <v>77</v>
      </c>
      <c r="H858" s="1">
        <v>550</v>
      </c>
      <c r="I858" s="2">
        <v>27</v>
      </c>
    </row>
    <row r="859" spans="1:9" ht="12.75" x14ac:dyDescent="0.2">
      <c r="A859" s="3">
        <v>45961</v>
      </c>
      <c r="B859" s="1" t="str">
        <f t="shared" si="20"/>
        <v>31/10/25 Viernes</v>
      </c>
      <c r="C859" s="1" t="s">
        <v>11</v>
      </c>
      <c r="D859" s="1">
        <v>708</v>
      </c>
      <c r="E859" s="2">
        <v>1161</v>
      </c>
      <c r="F859" s="2">
        <v>953</v>
      </c>
      <c r="G859" s="2">
        <v>208</v>
      </c>
      <c r="H859" s="1">
        <v>942</v>
      </c>
      <c r="I859" s="2">
        <v>11</v>
      </c>
    </row>
    <row r="860" spans="1:9" ht="12.75" x14ac:dyDescent="0.2">
      <c r="A860" s="3">
        <v>45961</v>
      </c>
      <c r="B860" s="1" t="str">
        <f t="shared" si="20"/>
        <v>31/10/25 Viernes</v>
      </c>
      <c r="C860" s="1" t="s">
        <v>12</v>
      </c>
      <c r="D860" s="1">
        <v>352</v>
      </c>
      <c r="E860" s="2">
        <v>939</v>
      </c>
      <c r="F860" s="2">
        <v>621</v>
      </c>
      <c r="G860" s="2">
        <v>318</v>
      </c>
      <c r="H860" s="1">
        <v>527</v>
      </c>
      <c r="I860" s="2">
        <v>94</v>
      </c>
    </row>
    <row r="861" spans="1:9" ht="12.75" x14ac:dyDescent="0.2">
      <c r="A861" s="3">
        <v>45961</v>
      </c>
      <c r="B861" s="1" t="str">
        <f t="shared" si="20"/>
        <v>31/10/25 Viernes</v>
      </c>
      <c r="C861" s="1" t="s">
        <v>13</v>
      </c>
      <c r="D861" s="1">
        <v>890</v>
      </c>
      <c r="E861" s="2">
        <v>666</v>
      </c>
      <c r="F861" s="2">
        <v>351</v>
      </c>
      <c r="G861" s="2">
        <v>315</v>
      </c>
      <c r="H861" s="1">
        <v>343</v>
      </c>
      <c r="I861" s="2">
        <v>8</v>
      </c>
    </row>
    <row r="862" spans="1:9" ht="12.75" x14ac:dyDescent="0.2">
      <c r="A862" s="3">
        <v>45961</v>
      </c>
      <c r="B862" s="1" t="str">
        <f t="shared" si="20"/>
        <v>31/10/25 Viernes</v>
      </c>
      <c r="C862" s="1" t="s">
        <v>14</v>
      </c>
      <c r="D862" s="1">
        <v>1099</v>
      </c>
      <c r="E862" s="2">
        <v>656</v>
      </c>
      <c r="F862" s="2">
        <v>375</v>
      </c>
      <c r="G862" s="2">
        <v>281</v>
      </c>
      <c r="H862" s="1">
        <v>349</v>
      </c>
      <c r="I862" s="2">
        <v>26</v>
      </c>
    </row>
    <row r="863" spans="1:9" ht="12.75" x14ac:dyDescent="0.2">
      <c r="A863" s="3">
        <v>45961</v>
      </c>
      <c r="B863" s="1" t="str">
        <f t="shared" si="20"/>
        <v>31/10/25 Viernes</v>
      </c>
      <c r="C863" s="1" t="s">
        <v>15</v>
      </c>
      <c r="D863" s="1">
        <v>663</v>
      </c>
      <c r="E863" s="2">
        <v>934</v>
      </c>
      <c r="F863" s="2">
        <v>524</v>
      </c>
      <c r="G863" s="2">
        <v>410</v>
      </c>
      <c r="H863" s="1">
        <v>480</v>
      </c>
      <c r="I863" s="2">
        <v>44</v>
      </c>
    </row>
    <row r="864" spans="1:9" ht="12.75" x14ac:dyDescent="0.2">
      <c r="A864" s="3">
        <v>45962</v>
      </c>
      <c r="B864" s="1" t="str">
        <f t="shared" si="20"/>
        <v>01/11/25 Sábado</v>
      </c>
      <c r="C864" s="1" t="s">
        <v>8</v>
      </c>
      <c r="D864" s="1">
        <v>690</v>
      </c>
      <c r="E864" s="2">
        <v>524</v>
      </c>
      <c r="F864" s="2">
        <v>417</v>
      </c>
      <c r="G864" s="2">
        <v>107</v>
      </c>
      <c r="H864" s="1">
        <v>373</v>
      </c>
      <c r="I864" s="2">
        <v>44</v>
      </c>
    </row>
    <row r="865" spans="1:9" ht="12.75" x14ac:dyDescent="0.2">
      <c r="A865" s="3">
        <v>45962</v>
      </c>
      <c r="B865" s="1" t="str">
        <f t="shared" si="20"/>
        <v>01/11/25 Sábado</v>
      </c>
      <c r="C865" s="1" t="s">
        <v>9</v>
      </c>
      <c r="D865" s="1">
        <v>0</v>
      </c>
      <c r="E865" s="2">
        <v>0</v>
      </c>
      <c r="F865" s="2">
        <v>0</v>
      </c>
      <c r="G865" s="2">
        <v>0</v>
      </c>
      <c r="H865" s="1">
        <v>0</v>
      </c>
      <c r="I865" s="2">
        <v>0</v>
      </c>
    </row>
    <row r="866" spans="1:9" ht="12.75" x14ac:dyDescent="0.2">
      <c r="A866" s="3">
        <v>45962</v>
      </c>
      <c r="B866" s="1" t="str">
        <f t="shared" si="20"/>
        <v>01/11/25 Sábado</v>
      </c>
      <c r="C866" s="1" t="s">
        <v>10</v>
      </c>
      <c r="D866" s="1">
        <v>0</v>
      </c>
      <c r="E866" s="2">
        <v>0</v>
      </c>
      <c r="F866" s="2">
        <v>0</v>
      </c>
      <c r="G866" s="2">
        <v>0</v>
      </c>
      <c r="H866" s="1">
        <v>0</v>
      </c>
      <c r="I866" s="2">
        <v>0</v>
      </c>
    </row>
    <row r="867" spans="1:9" ht="12.75" x14ac:dyDescent="0.2">
      <c r="A867" s="3">
        <v>45962</v>
      </c>
      <c r="B867" s="1" t="str">
        <f t="shared" si="20"/>
        <v>01/11/25 Sábado</v>
      </c>
      <c r="C867" s="1" t="s">
        <v>11</v>
      </c>
      <c r="D867" s="1">
        <v>0</v>
      </c>
      <c r="E867" s="2">
        <v>99</v>
      </c>
      <c r="F867" s="2">
        <v>41</v>
      </c>
      <c r="G867" s="2">
        <v>58</v>
      </c>
      <c r="H867" s="1">
        <v>39</v>
      </c>
      <c r="I867" s="2">
        <v>2</v>
      </c>
    </row>
    <row r="868" spans="1:9" ht="12.75" x14ac:dyDescent="0.2">
      <c r="A868" s="3">
        <v>45962</v>
      </c>
      <c r="B868" s="1" t="str">
        <f t="shared" si="20"/>
        <v>01/11/25 Sábado</v>
      </c>
      <c r="C868" s="1" t="s">
        <v>12</v>
      </c>
      <c r="D868" s="1">
        <v>935</v>
      </c>
      <c r="E868" s="2">
        <v>343</v>
      </c>
      <c r="F868" s="2">
        <v>204</v>
      </c>
      <c r="G868" s="2">
        <v>139</v>
      </c>
      <c r="H868" s="1">
        <v>173</v>
      </c>
      <c r="I868" s="2">
        <v>31</v>
      </c>
    </row>
    <row r="869" spans="1:9" ht="12.75" x14ac:dyDescent="0.2">
      <c r="A869" s="3">
        <v>45962</v>
      </c>
      <c r="B869" s="1" t="str">
        <f t="shared" si="20"/>
        <v>01/11/25 Sábado</v>
      </c>
      <c r="C869" s="1" t="s">
        <v>13</v>
      </c>
      <c r="D869" s="1">
        <v>288</v>
      </c>
      <c r="E869" s="2">
        <v>173</v>
      </c>
      <c r="F869" s="2">
        <v>144</v>
      </c>
      <c r="G869" s="2">
        <v>29</v>
      </c>
      <c r="H869" s="1">
        <v>132</v>
      </c>
      <c r="I869" s="2">
        <v>12</v>
      </c>
    </row>
    <row r="870" spans="1:9" ht="12.75" x14ac:dyDescent="0.2">
      <c r="A870" s="3">
        <v>45962</v>
      </c>
      <c r="B870" s="1" t="str">
        <f t="shared" si="20"/>
        <v>01/11/25 Sábado</v>
      </c>
      <c r="C870" s="1" t="s">
        <v>14</v>
      </c>
      <c r="D870" s="1">
        <v>286</v>
      </c>
      <c r="E870" s="2">
        <v>1057</v>
      </c>
      <c r="F870" s="2">
        <v>708</v>
      </c>
      <c r="G870" s="2">
        <v>349</v>
      </c>
      <c r="H870" s="1">
        <v>575</v>
      </c>
      <c r="I870" s="2">
        <v>133</v>
      </c>
    </row>
    <row r="871" spans="1:9" ht="12.75" x14ac:dyDescent="0.2">
      <c r="A871" s="3">
        <v>45962</v>
      </c>
      <c r="B871" s="1" t="str">
        <f t="shared" si="20"/>
        <v>01/11/25 Sábado</v>
      </c>
      <c r="C871" s="1" t="s">
        <v>15</v>
      </c>
      <c r="D871" s="1">
        <v>737</v>
      </c>
      <c r="E871" s="2">
        <v>950</v>
      </c>
      <c r="F871" s="2">
        <v>576</v>
      </c>
      <c r="G871" s="2">
        <v>374</v>
      </c>
      <c r="H871" s="1">
        <v>523</v>
      </c>
      <c r="I871" s="2">
        <v>53</v>
      </c>
    </row>
    <row r="872" spans="1:9" ht="12.75" x14ac:dyDescent="0.2">
      <c r="A872" s="3">
        <v>45963</v>
      </c>
      <c r="B872" s="1" t="str">
        <f t="shared" si="20"/>
        <v>02/11/25 Domingo</v>
      </c>
      <c r="C872" s="1" t="s">
        <v>8</v>
      </c>
      <c r="D872" s="1">
        <v>141</v>
      </c>
      <c r="E872" s="2">
        <v>21</v>
      </c>
      <c r="F872" s="2">
        <v>0</v>
      </c>
      <c r="G872" s="2">
        <v>21</v>
      </c>
      <c r="H872" s="1">
        <v>0</v>
      </c>
      <c r="I872" s="2">
        <v>0</v>
      </c>
    </row>
    <row r="873" spans="1:9" ht="12.75" x14ac:dyDescent="0.2">
      <c r="A873" s="3">
        <v>45963</v>
      </c>
      <c r="B873" s="1" t="str">
        <f t="shared" si="20"/>
        <v>02/11/25 Domingo</v>
      </c>
      <c r="C873" s="1" t="s">
        <v>9</v>
      </c>
      <c r="D873" s="1">
        <v>301</v>
      </c>
      <c r="E873" s="2">
        <v>85</v>
      </c>
      <c r="F873" s="2">
        <v>76</v>
      </c>
      <c r="G873" s="2">
        <v>9</v>
      </c>
      <c r="H873" s="1">
        <v>73</v>
      </c>
      <c r="I873" s="2">
        <v>3</v>
      </c>
    </row>
    <row r="874" spans="1:9" ht="12.75" x14ac:dyDescent="0.2">
      <c r="A874" s="3">
        <v>45963</v>
      </c>
      <c r="B874" s="1" t="str">
        <f t="shared" si="20"/>
        <v>02/11/25 Domingo</v>
      </c>
      <c r="C874" s="1" t="s">
        <v>10</v>
      </c>
      <c r="D874" s="1">
        <v>945</v>
      </c>
      <c r="E874" s="2">
        <v>258</v>
      </c>
      <c r="F874" s="2">
        <v>134</v>
      </c>
      <c r="G874" s="2">
        <v>124</v>
      </c>
      <c r="H874" s="1">
        <v>131</v>
      </c>
      <c r="I874" s="2">
        <v>3</v>
      </c>
    </row>
    <row r="875" spans="1:9" ht="12.75" x14ac:dyDescent="0.2">
      <c r="A875" s="3">
        <v>45963</v>
      </c>
      <c r="B875" s="1" t="str">
        <f t="shared" si="20"/>
        <v>02/11/25 Domingo</v>
      </c>
      <c r="C875" s="1" t="s">
        <v>11</v>
      </c>
      <c r="D875" s="1">
        <v>1659</v>
      </c>
      <c r="E875" s="2">
        <v>1161</v>
      </c>
      <c r="F875" s="2">
        <v>1047</v>
      </c>
      <c r="G875" s="2">
        <v>114</v>
      </c>
      <c r="H875" s="1">
        <v>1024</v>
      </c>
      <c r="I875" s="2">
        <v>23</v>
      </c>
    </row>
    <row r="876" spans="1:9" ht="12.75" x14ac:dyDescent="0.2">
      <c r="A876" s="3">
        <v>45963</v>
      </c>
      <c r="B876" s="1" t="str">
        <f t="shared" si="20"/>
        <v>02/11/25 Domingo</v>
      </c>
      <c r="C876" s="1" t="s">
        <v>12</v>
      </c>
      <c r="D876" s="1">
        <v>452</v>
      </c>
      <c r="E876" s="2">
        <v>100</v>
      </c>
      <c r="F876" s="2">
        <v>97</v>
      </c>
      <c r="G876" s="2">
        <v>3</v>
      </c>
      <c r="H876" s="1">
        <v>95</v>
      </c>
      <c r="I876" s="2">
        <v>2</v>
      </c>
    </row>
    <row r="877" spans="1:9" ht="12.75" x14ac:dyDescent="0.2">
      <c r="A877" s="3">
        <v>45963</v>
      </c>
      <c r="B877" s="1" t="str">
        <f t="shared" si="20"/>
        <v>02/11/25 Domingo</v>
      </c>
      <c r="C877" s="1" t="s">
        <v>13</v>
      </c>
      <c r="D877" s="1">
        <v>450</v>
      </c>
      <c r="E877" s="2">
        <v>333</v>
      </c>
      <c r="F877" s="2">
        <v>243</v>
      </c>
      <c r="G877" s="2">
        <v>90</v>
      </c>
      <c r="H877" s="1">
        <v>238</v>
      </c>
      <c r="I877" s="2">
        <v>5</v>
      </c>
    </row>
    <row r="878" spans="1:9" ht="12.75" x14ac:dyDescent="0.2">
      <c r="A878" s="3">
        <v>45963</v>
      </c>
      <c r="B878" s="1" t="str">
        <f t="shared" si="20"/>
        <v>02/11/25 Domingo</v>
      </c>
      <c r="C878" s="1" t="s">
        <v>14</v>
      </c>
      <c r="D878" s="1">
        <v>0</v>
      </c>
      <c r="E878" s="2">
        <v>263</v>
      </c>
      <c r="F878" s="2">
        <v>211</v>
      </c>
      <c r="G878" s="2">
        <v>52</v>
      </c>
      <c r="H878" s="1">
        <v>177</v>
      </c>
      <c r="I878" s="2">
        <v>34</v>
      </c>
    </row>
    <row r="879" spans="1:9" ht="12.75" x14ac:dyDescent="0.2">
      <c r="A879" s="3">
        <v>45963</v>
      </c>
      <c r="B879" s="1" t="str">
        <f t="shared" si="20"/>
        <v>02/11/25 Domingo</v>
      </c>
      <c r="C879" s="1" t="s">
        <v>15</v>
      </c>
      <c r="D879" s="1">
        <v>0</v>
      </c>
      <c r="E879" s="2">
        <v>0</v>
      </c>
      <c r="F879" s="2">
        <v>0</v>
      </c>
      <c r="G879" s="2">
        <v>0</v>
      </c>
      <c r="H879" s="1">
        <v>0</v>
      </c>
      <c r="I879" s="2">
        <v>0</v>
      </c>
    </row>
    <row r="880" spans="1:9" ht="12.75" x14ac:dyDescent="0.2">
      <c r="A880" s="3">
        <v>45964</v>
      </c>
      <c r="B880" s="1" t="str">
        <f t="shared" si="20"/>
        <v>03/11/25 Lunes</v>
      </c>
      <c r="C880" s="1" t="s">
        <v>8</v>
      </c>
      <c r="D880" s="1">
        <v>694</v>
      </c>
      <c r="E880" s="2">
        <v>975</v>
      </c>
      <c r="F880" s="2">
        <v>506</v>
      </c>
      <c r="G880" s="2">
        <v>469</v>
      </c>
      <c r="H880" s="1">
        <v>424</v>
      </c>
      <c r="I880" s="2">
        <v>82</v>
      </c>
    </row>
    <row r="881" spans="1:9" ht="12.75" x14ac:dyDescent="0.2">
      <c r="A881" s="3">
        <v>45964</v>
      </c>
      <c r="B881" s="1" t="str">
        <f t="shared" si="20"/>
        <v>03/11/25 Lunes</v>
      </c>
      <c r="C881" s="1" t="s">
        <v>9</v>
      </c>
      <c r="D881" s="1">
        <v>48</v>
      </c>
      <c r="E881" s="2">
        <v>169</v>
      </c>
      <c r="F881" s="2">
        <v>138</v>
      </c>
      <c r="G881" s="2">
        <v>31</v>
      </c>
      <c r="H881" s="1">
        <v>133</v>
      </c>
      <c r="I881" s="2">
        <v>5</v>
      </c>
    </row>
    <row r="882" spans="1:9" ht="12.75" x14ac:dyDescent="0.2">
      <c r="A882" s="3">
        <v>45964</v>
      </c>
      <c r="B882" s="1" t="str">
        <f t="shared" si="20"/>
        <v>03/11/25 Lunes</v>
      </c>
      <c r="C882" s="1" t="s">
        <v>10</v>
      </c>
      <c r="D882" s="1">
        <v>697</v>
      </c>
      <c r="E882" s="2">
        <v>945</v>
      </c>
      <c r="F882" s="2">
        <v>622</v>
      </c>
      <c r="G882" s="2">
        <v>323</v>
      </c>
      <c r="H882" s="1">
        <v>521</v>
      </c>
      <c r="I882" s="2">
        <v>101</v>
      </c>
    </row>
    <row r="883" spans="1:9" ht="12.75" x14ac:dyDescent="0.2">
      <c r="A883" s="3">
        <v>45964</v>
      </c>
      <c r="B883" s="1" t="str">
        <f t="shared" si="20"/>
        <v>03/11/25 Lunes</v>
      </c>
      <c r="C883" s="1" t="s">
        <v>11</v>
      </c>
      <c r="D883" s="1">
        <v>951</v>
      </c>
      <c r="E883" s="2">
        <v>752</v>
      </c>
      <c r="F883" s="2">
        <v>733</v>
      </c>
      <c r="G883" s="2">
        <v>19</v>
      </c>
      <c r="H883" s="1">
        <v>723</v>
      </c>
      <c r="I883" s="2">
        <v>10</v>
      </c>
    </row>
    <row r="884" spans="1:9" ht="12.75" x14ac:dyDescent="0.2">
      <c r="A884" s="3">
        <v>45964</v>
      </c>
      <c r="B884" s="1" t="str">
        <f t="shared" si="20"/>
        <v>03/11/25 Lunes</v>
      </c>
      <c r="C884" s="1" t="s">
        <v>12</v>
      </c>
      <c r="D884" s="1">
        <v>452</v>
      </c>
      <c r="E884" s="2">
        <v>911</v>
      </c>
      <c r="F884" s="2">
        <v>497</v>
      </c>
      <c r="G884" s="2">
        <v>414</v>
      </c>
      <c r="H884" s="1">
        <v>453</v>
      </c>
      <c r="I884" s="2">
        <v>44</v>
      </c>
    </row>
    <row r="885" spans="1:9" ht="12.75" x14ac:dyDescent="0.2">
      <c r="A885" s="3">
        <v>45964</v>
      </c>
      <c r="B885" s="1" t="str">
        <f t="shared" si="20"/>
        <v>03/11/25 Lunes</v>
      </c>
      <c r="C885" s="1" t="s">
        <v>13</v>
      </c>
      <c r="D885" s="1">
        <v>890</v>
      </c>
      <c r="E885" s="2">
        <v>1034</v>
      </c>
      <c r="F885" s="2">
        <v>730</v>
      </c>
      <c r="G885" s="2">
        <v>304</v>
      </c>
      <c r="H885" s="1">
        <v>697</v>
      </c>
      <c r="I885" s="2">
        <v>33</v>
      </c>
    </row>
    <row r="886" spans="1:9" ht="12.75" x14ac:dyDescent="0.2">
      <c r="A886" s="3">
        <v>45964</v>
      </c>
      <c r="B886" s="1" t="str">
        <f t="shared" si="20"/>
        <v>03/11/25 Lunes</v>
      </c>
      <c r="C886" s="1" t="s">
        <v>14</v>
      </c>
      <c r="D886" s="1">
        <v>1099</v>
      </c>
      <c r="E886" s="2">
        <v>527</v>
      </c>
      <c r="F886" s="2">
        <v>364</v>
      </c>
      <c r="G886" s="2">
        <v>163</v>
      </c>
      <c r="H886" s="1">
        <v>338</v>
      </c>
      <c r="I886" s="2">
        <v>26</v>
      </c>
    </row>
    <row r="887" spans="1:9" ht="12.75" x14ac:dyDescent="0.2">
      <c r="A887" s="3">
        <v>45964</v>
      </c>
      <c r="B887" s="1" t="str">
        <f t="shared" si="20"/>
        <v>03/11/25 Lunes</v>
      </c>
      <c r="C887" s="1" t="s">
        <v>15</v>
      </c>
      <c r="D887" s="1">
        <v>663</v>
      </c>
      <c r="E887" s="2">
        <v>844</v>
      </c>
      <c r="F887" s="2">
        <v>497</v>
      </c>
      <c r="G887" s="2">
        <v>347</v>
      </c>
      <c r="H887" s="1">
        <v>455</v>
      </c>
      <c r="I887" s="2">
        <v>42</v>
      </c>
    </row>
    <row r="888" spans="1:9" ht="12.75" x14ac:dyDescent="0.2">
      <c r="A888" s="3">
        <v>45965</v>
      </c>
      <c r="B888" s="1" t="str">
        <f t="shared" si="20"/>
        <v>04/11/25 Martes</v>
      </c>
      <c r="C888" s="1" t="s">
        <v>8</v>
      </c>
      <c r="D888" s="1">
        <v>693</v>
      </c>
      <c r="E888" s="2">
        <v>956</v>
      </c>
      <c r="F888" s="2">
        <v>590</v>
      </c>
      <c r="G888" s="2">
        <v>366</v>
      </c>
      <c r="H888" s="1">
        <v>519</v>
      </c>
      <c r="I888" s="2">
        <v>71</v>
      </c>
    </row>
    <row r="889" spans="1:9" ht="12.75" x14ac:dyDescent="0.2">
      <c r="A889" s="3">
        <v>45965</v>
      </c>
      <c r="B889" s="1" t="str">
        <f t="shared" si="20"/>
        <v>04/11/25 Martes</v>
      </c>
      <c r="C889" s="1" t="s">
        <v>9</v>
      </c>
      <c r="D889" s="1">
        <v>253</v>
      </c>
      <c r="E889" s="2">
        <v>129</v>
      </c>
      <c r="F889" s="2">
        <v>33</v>
      </c>
      <c r="G889" s="2">
        <v>96</v>
      </c>
      <c r="H889" s="1">
        <v>31</v>
      </c>
      <c r="I889" s="2">
        <v>2</v>
      </c>
    </row>
    <row r="890" spans="1:9" ht="12.75" x14ac:dyDescent="0.2">
      <c r="A890" s="3">
        <v>45965</v>
      </c>
      <c r="B890" s="1" t="str">
        <f t="shared" si="20"/>
        <v>04/11/25 Martes</v>
      </c>
      <c r="C890" s="1" t="s">
        <v>10</v>
      </c>
      <c r="D890" s="1">
        <v>945</v>
      </c>
      <c r="E890" s="2">
        <v>865</v>
      </c>
      <c r="F890" s="2">
        <v>630</v>
      </c>
      <c r="G890" s="2">
        <v>235</v>
      </c>
      <c r="H890" s="1">
        <v>608</v>
      </c>
      <c r="I890" s="2">
        <v>22</v>
      </c>
    </row>
    <row r="891" spans="1:9" ht="12.75" x14ac:dyDescent="0.2">
      <c r="A891" s="3">
        <v>45965</v>
      </c>
      <c r="B891" s="1" t="str">
        <f t="shared" si="20"/>
        <v>04/11/25 Martes</v>
      </c>
      <c r="C891" s="1" t="s">
        <v>11</v>
      </c>
      <c r="D891" s="1">
        <v>708</v>
      </c>
      <c r="E891" s="2">
        <v>980</v>
      </c>
      <c r="F891" s="2">
        <v>980</v>
      </c>
      <c r="G891" s="2">
        <v>0</v>
      </c>
      <c r="H891" s="1">
        <v>966</v>
      </c>
      <c r="I891" s="2">
        <v>14</v>
      </c>
    </row>
    <row r="892" spans="1:9" ht="12.75" x14ac:dyDescent="0.2">
      <c r="A892" s="3">
        <v>45965</v>
      </c>
      <c r="B892" s="1" t="str">
        <f t="shared" si="20"/>
        <v>04/11/25 Martes</v>
      </c>
      <c r="C892" s="1" t="s">
        <v>12</v>
      </c>
      <c r="D892" s="1">
        <v>935</v>
      </c>
      <c r="E892" s="2">
        <v>886</v>
      </c>
      <c r="F892" s="2">
        <v>484</v>
      </c>
      <c r="G892" s="2">
        <v>402</v>
      </c>
      <c r="H892" s="1">
        <v>410</v>
      </c>
      <c r="I892" s="2">
        <v>74</v>
      </c>
    </row>
    <row r="893" spans="1:9" ht="12.75" x14ac:dyDescent="0.2">
      <c r="A893" s="3">
        <v>45965</v>
      </c>
      <c r="B893" s="1" t="str">
        <f t="shared" si="20"/>
        <v>04/11/25 Martes</v>
      </c>
      <c r="C893" s="1" t="s">
        <v>13</v>
      </c>
      <c r="D893" s="1">
        <v>510</v>
      </c>
      <c r="E893" s="2">
        <v>501</v>
      </c>
      <c r="F893" s="2">
        <v>272</v>
      </c>
      <c r="G893" s="2">
        <v>229</v>
      </c>
      <c r="H893" s="1">
        <v>252</v>
      </c>
      <c r="I893" s="2">
        <v>20</v>
      </c>
    </row>
    <row r="894" spans="1:9" ht="12.75" x14ac:dyDescent="0.2">
      <c r="A894" s="3">
        <v>45965</v>
      </c>
      <c r="B894" s="1" t="str">
        <f t="shared" si="20"/>
        <v>04/11/25 Martes</v>
      </c>
      <c r="C894" s="1" t="s">
        <v>14</v>
      </c>
      <c r="D894" s="1">
        <v>286</v>
      </c>
      <c r="E894" s="2">
        <v>754</v>
      </c>
      <c r="F894" s="2">
        <v>604</v>
      </c>
      <c r="G894" s="2">
        <v>150</v>
      </c>
      <c r="H894" s="1">
        <v>526</v>
      </c>
      <c r="I894" s="2">
        <v>78</v>
      </c>
    </row>
    <row r="895" spans="1:9" ht="12.75" x14ac:dyDescent="0.2">
      <c r="A895" s="3">
        <v>45965</v>
      </c>
      <c r="B895" s="1" t="str">
        <f t="shared" si="20"/>
        <v>04/11/25 Martes</v>
      </c>
      <c r="C895" s="1" t="s">
        <v>15</v>
      </c>
      <c r="D895" s="1">
        <v>737</v>
      </c>
      <c r="E895" s="2">
        <v>378</v>
      </c>
      <c r="F895" s="2">
        <v>196</v>
      </c>
      <c r="G895" s="2">
        <v>182</v>
      </c>
      <c r="H895" s="1">
        <v>182</v>
      </c>
      <c r="I895" s="2">
        <v>14</v>
      </c>
    </row>
    <row r="896" spans="1:9" ht="12.75" x14ac:dyDescent="0.2">
      <c r="A896" s="3">
        <v>45966</v>
      </c>
      <c r="B896" s="1" t="str">
        <f t="shared" si="20"/>
        <v>05/11/25 Miércoles</v>
      </c>
      <c r="C896" s="1" t="s">
        <v>8</v>
      </c>
      <c r="D896" s="1">
        <v>694</v>
      </c>
      <c r="E896" s="2">
        <v>643</v>
      </c>
      <c r="F896" s="2">
        <v>465</v>
      </c>
      <c r="G896" s="2">
        <v>178</v>
      </c>
      <c r="H896" s="1">
        <v>416</v>
      </c>
      <c r="I896" s="2">
        <v>49</v>
      </c>
    </row>
    <row r="897" spans="1:9" ht="12.75" x14ac:dyDescent="0.2">
      <c r="A897" s="3">
        <v>45966</v>
      </c>
      <c r="B897" s="1" t="str">
        <f t="shared" si="20"/>
        <v>05/11/25 Miércoles</v>
      </c>
      <c r="C897" s="1" t="s">
        <v>9</v>
      </c>
      <c r="D897" s="1">
        <v>48</v>
      </c>
      <c r="E897" s="2">
        <v>145</v>
      </c>
      <c r="F897" s="2">
        <v>95</v>
      </c>
      <c r="G897" s="2">
        <v>50</v>
      </c>
      <c r="H897" s="1">
        <v>94</v>
      </c>
      <c r="I897" s="2">
        <v>1</v>
      </c>
    </row>
    <row r="898" spans="1:9" ht="12.75" x14ac:dyDescent="0.2">
      <c r="A898" s="3">
        <v>45966</v>
      </c>
      <c r="B898" s="1" t="str">
        <f t="shared" si="20"/>
        <v>05/11/25 Miércoles</v>
      </c>
      <c r="C898" s="1" t="s">
        <v>10</v>
      </c>
      <c r="D898" s="1">
        <v>697</v>
      </c>
      <c r="E898" s="2">
        <v>747</v>
      </c>
      <c r="F898" s="2">
        <v>522</v>
      </c>
      <c r="G898" s="2">
        <v>225</v>
      </c>
      <c r="H898" s="1">
        <v>509</v>
      </c>
      <c r="I898" s="2">
        <v>13</v>
      </c>
    </row>
    <row r="899" spans="1:9" ht="12.75" x14ac:dyDescent="0.2">
      <c r="A899" s="3">
        <v>45966</v>
      </c>
      <c r="B899" s="1" t="str">
        <f t="shared" ref="B899:B951" si="21">PROPER(TEXT(A899,"[$-es-ES]dd/mm/yy dddd"))</f>
        <v>05/11/25 Miércoles</v>
      </c>
      <c r="C899" s="1" t="s">
        <v>11</v>
      </c>
      <c r="D899" s="1">
        <v>951</v>
      </c>
      <c r="E899" s="2">
        <v>839</v>
      </c>
      <c r="F899" s="2">
        <v>807</v>
      </c>
      <c r="G899" s="2">
        <v>32</v>
      </c>
      <c r="H899" s="1">
        <v>798</v>
      </c>
      <c r="I899" s="2">
        <v>9</v>
      </c>
    </row>
    <row r="900" spans="1:9" ht="12.75" x14ac:dyDescent="0.2">
      <c r="A900" s="3">
        <v>45966</v>
      </c>
      <c r="B900" s="1" t="str">
        <f t="shared" si="21"/>
        <v>05/11/25 Miércoles</v>
      </c>
      <c r="C900" s="1" t="s">
        <v>12</v>
      </c>
      <c r="D900" s="1">
        <v>452</v>
      </c>
      <c r="E900" s="2">
        <v>893</v>
      </c>
      <c r="F900" s="2">
        <v>490</v>
      </c>
      <c r="G900" s="2">
        <v>403</v>
      </c>
      <c r="H900" s="1">
        <v>439</v>
      </c>
      <c r="I900" s="2">
        <v>51</v>
      </c>
    </row>
    <row r="901" spans="1:9" ht="12.75" x14ac:dyDescent="0.2">
      <c r="A901" s="3">
        <v>45966</v>
      </c>
      <c r="B901" s="1" t="str">
        <f t="shared" si="21"/>
        <v>05/11/25 Miércoles</v>
      </c>
      <c r="C901" s="1" t="s">
        <v>13</v>
      </c>
      <c r="D901" s="1">
        <v>896</v>
      </c>
      <c r="E901" s="2">
        <v>656</v>
      </c>
      <c r="F901" s="2">
        <v>585</v>
      </c>
      <c r="G901" s="2">
        <v>71</v>
      </c>
      <c r="H901" s="1">
        <v>557</v>
      </c>
      <c r="I901" s="2">
        <v>28</v>
      </c>
    </row>
    <row r="902" spans="1:9" ht="12.75" x14ac:dyDescent="0.2">
      <c r="A902" s="3">
        <v>45966</v>
      </c>
      <c r="B902" s="1" t="str">
        <f t="shared" si="21"/>
        <v>05/11/25 Miércoles</v>
      </c>
      <c r="C902" s="1" t="s">
        <v>14</v>
      </c>
      <c r="D902" s="1">
        <v>1099</v>
      </c>
      <c r="E902" s="2">
        <v>727</v>
      </c>
      <c r="F902" s="2">
        <v>438</v>
      </c>
      <c r="G902" s="2">
        <v>289</v>
      </c>
      <c r="H902" s="1">
        <v>377</v>
      </c>
      <c r="I902" s="2">
        <v>61</v>
      </c>
    </row>
    <row r="903" spans="1:9" ht="12.75" x14ac:dyDescent="0.2">
      <c r="A903" s="3">
        <v>45966</v>
      </c>
      <c r="B903" s="1" t="str">
        <f t="shared" si="21"/>
        <v>05/11/25 Miércoles</v>
      </c>
      <c r="C903" s="1" t="s">
        <v>15</v>
      </c>
      <c r="D903" s="1">
        <v>663</v>
      </c>
      <c r="E903" s="2">
        <v>810</v>
      </c>
      <c r="F903" s="2">
        <v>524</v>
      </c>
      <c r="G903" s="2">
        <v>286</v>
      </c>
      <c r="H903" s="1">
        <v>489</v>
      </c>
      <c r="I903" s="2">
        <v>35</v>
      </c>
    </row>
    <row r="904" spans="1:9" ht="12.75" x14ac:dyDescent="0.2">
      <c r="A904" s="3">
        <v>45967</v>
      </c>
      <c r="B904" s="1" t="str">
        <f t="shared" si="21"/>
        <v>06/11/25 Jueves</v>
      </c>
      <c r="C904" s="1" t="s">
        <v>8</v>
      </c>
      <c r="D904" s="1">
        <v>693</v>
      </c>
      <c r="E904" s="2">
        <v>1311</v>
      </c>
      <c r="F904" s="2">
        <v>691</v>
      </c>
      <c r="G904" s="2">
        <v>620</v>
      </c>
      <c r="H904" s="1">
        <v>622</v>
      </c>
      <c r="I904" s="2">
        <v>69</v>
      </c>
    </row>
    <row r="905" spans="1:9" ht="12.75" x14ac:dyDescent="0.2">
      <c r="A905" s="3">
        <v>45967</v>
      </c>
      <c r="B905" s="1" t="str">
        <f t="shared" si="21"/>
        <v>06/11/25 Jueves</v>
      </c>
      <c r="C905" s="1" t="s">
        <v>9</v>
      </c>
      <c r="D905" s="1">
        <v>253</v>
      </c>
      <c r="E905" s="2">
        <v>187</v>
      </c>
      <c r="F905" s="2">
        <v>127</v>
      </c>
      <c r="G905" s="2">
        <v>60</v>
      </c>
      <c r="H905" s="1">
        <v>125</v>
      </c>
      <c r="I905" s="2">
        <v>2</v>
      </c>
    </row>
    <row r="906" spans="1:9" ht="12.75" x14ac:dyDescent="0.2">
      <c r="A906" s="3">
        <v>45967</v>
      </c>
      <c r="B906" s="1" t="str">
        <f t="shared" si="21"/>
        <v>06/11/25 Jueves</v>
      </c>
      <c r="C906" s="1" t="s">
        <v>10</v>
      </c>
      <c r="D906" s="1">
        <v>945</v>
      </c>
      <c r="E906" s="2">
        <v>731</v>
      </c>
      <c r="F906" s="2">
        <v>665</v>
      </c>
      <c r="G906" s="2">
        <v>66</v>
      </c>
      <c r="H906" s="1">
        <v>653</v>
      </c>
      <c r="I906" s="2">
        <v>12</v>
      </c>
    </row>
    <row r="907" spans="1:9" ht="12.75" x14ac:dyDescent="0.2">
      <c r="A907" s="3">
        <v>45967</v>
      </c>
      <c r="B907" s="1" t="str">
        <f t="shared" si="21"/>
        <v>06/11/25 Jueves</v>
      </c>
      <c r="C907" s="1" t="s">
        <v>11</v>
      </c>
      <c r="D907" s="1">
        <v>708</v>
      </c>
      <c r="E907" s="2">
        <v>975</v>
      </c>
      <c r="F907" s="2">
        <v>975</v>
      </c>
      <c r="G907" s="2">
        <v>0</v>
      </c>
      <c r="H907" s="1">
        <v>958</v>
      </c>
      <c r="I907" s="2">
        <v>17</v>
      </c>
    </row>
    <row r="908" spans="1:9" ht="12.75" x14ac:dyDescent="0.2">
      <c r="A908" s="3">
        <v>45967</v>
      </c>
      <c r="B908" s="1" t="str">
        <f t="shared" si="21"/>
        <v>06/11/25 Jueves</v>
      </c>
      <c r="C908" s="1" t="s">
        <v>12</v>
      </c>
      <c r="D908" s="1">
        <v>935</v>
      </c>
      <c r="E908" s="2">
        <v>895</v>
      </c>
      <c r="F908" s="2">
        <v>560</v>
      </c>
      <c r="G908" s="2">
        <v>335</v>
      </c>
      <c r="H908" s="1">
        <v>442</v>
      </c>
      <c r="I908" s="2">
        <v>118</v>
      </c>
    </row>
    <row r="909" spans="1:9" ht="12.75" x14ac:dyDescent="0.2">
      <c r="A909" s="3">
        <v>45967</v>
      </c>
      <c r="B909" s="1" t="str">
        <f t="shared" si="21"/>
        <v>06/11/25 Jueves</v>
      </c>
      <c r="C909" s="1" t="s">
        <v>13</v>
      </c>
      <c r="D909" s="1">
        <v>474</v>
      </c>
      <c r="E909" s="2">
        <v>585</v>
      </c>
      <c r="F909" s="2">
        <v>478</v>
      </c>
      <c r="G909" s="2">
        <v>107</v>
      </c>
      <c r="H909" s="1">
        <v>471</v>
      </c>
      <c r="I909" s="2">
        <v>7</v>
      </c>
    </row>
    <row r="910" spans="1:9" ht="12.75" x14ac:dyDescent="0.2">
      <c r="A910" s="3">
        <v>45967</v>
      </c>
      <c r="B910" s="1" t="str">
        <f t="shared" si="21"/>
        <v>06/11/25 Jueves</v>
      </c>
      <c r="C910" s="1" t="s">
        <v>14</v>
      </c>
      <c r="D910" s="1">
        <v>286</v>
      </c>
      <c r="E910" s="2">
        <v>627</v>
      </c>
      <c r="F910" s="2">
        <v>345</v>
      </c>
      <c r="G910" s="2">
        <v>282</v>
      </c>
      <c r="H910" s="1">
        <v>306</v>
      </c>
      <c r="I910" s="2">
        <v>39</v>
      </c>
    </row>
    <row r="911" spans="1:9" ht="12.75" x14ac:dyDescent="0.2">
      <c r="A911" s="3">
        <v>45967</v>
      </c>
      <c r="B911" s="1" t="str">
        <f t="shared" si="21"/>
        <v>06/11/25 Jueves</v>
      </c>
      <c r="C911" s="1" t="s">
        <v>15</v>
      </c>
      <c r="D911" s="1">
        <v>737</v>
      </c>
      <c r="E911" s="2">
        <v>922</v>
      </c>
      <c r="F911" s="2">
        <v>515</v>
      </c>
      <c r="G911" s="2">
        <v>407</v>
      </c>
      <c r="H911" s="1">
        <v>407</v>
      </c>
      <c r="I911" s="2">
        <v>108</v>
      </c>
    </row>
    <row r="912" spans="1:9" ht="12.75" x14ac:dyDescent="0.2">
      <c r="A912" s="3">
        <v>45968</v>
      </c>
      <c r="B912" s="1" t="str">
        <f t="shared" si="21"/>
        <v>07/11/25 Viernes</v>
      </c>
      <c r="C912" s="1" t="s">
        <v>8</v>
      </c>
      <c r="D912" s="1">
        <v>694</v>
      </c>
      <c r="E912" s="2">
        <v>587</v>
      </c>
      <c r="F912" s="2">
        <v>341</v>
      </c>
      <c r="G912" s="2">
        <v>246</v>
      </c>
      <c r="H912" s="1">
        <v>302</v>
      </c>
      <c r="I912" s="2">
        <v>39</v>
      </c>
    </row>
    <row r="913" spans="1:9" ht="12.75" x14ac:dyDescent="0.2">
      <c r="A913" s="3">
        <v>45968</v>
      </c>
      <c r="B913" s="1" t="str">
        <f t="shared" si="21"/>
        <v>07/11/25 Viernes</v>
      </c>
      <c r="C913" s="1" t="s">
        <v>9</v>
      </c>
      <c r="D913" s="1">
        <v>48</v>
      </c>
      <c r="E913" s="2">
        <v>190</v>
      </c>
      <c r="F913" s="2">
        <v>128</v>
      </c>
      <c r="G913" s="2">
        <v>62</v>
      </c>
      <c r="H913" s="1">
        <v>125</v>
      </c>
      <c r="I913" s="2">
        <v>3</v>
      </c>
    </row>
    <row r="914" spans="1:9" ht="12.75" x14ac:dyDescent="0.2">
      <c r="A914" s="3">
        <v>45968</v>
      </c>
      <c r="B914" s="1" t="str">
        <f t="shared" si="21"/>
        <v>07/11/25 Viernes</v>
      </c>
      <c r="C914" s="1" t="s">
        <v>10</v>
      </c>
      <c r="D914" s="1">
        <v>697</v>
      </c>
      <c r="E914" s="2">
        <v>769</v>
      </c>
      <c r="F914" s="2">
        <v>646</v>
      </c>
      <c r="G914" s="2">
        <v>123</v>
      </c>
      <c r="H914" s="1">
        <v>633</v>
      </c>
      <c r="I914" s="2">
        <v>13</v>
      </c>
    </row>
    <row r="915" spans="1:9" ht="12.75" x14ac:dyDescent="0.2">
      <c r="A915" s="3">
        <v>45968</v>
      </c>
      <c r="B915" s="1" t="str">
        <f t="shared" si="21"/>
        <v>07/11/25 Viernes</v>
      </c>
      <c r="C915" s="1" t="s">
        <v>11</v>
      </c>
      <c r="D915" s="1">
        <v>951</v>
      </c>
      <c r="E915" s="2">
        <v>838</v>
      </c>
      <c r="F915" s="2">
        <v>838</v>
      </c>
      <c r="G915" s="2">
        <v>0</v>
      </c>
      <c r="H915" s="1">
        <v>830</v>
      </c>
      <c r="I915" s="2">
        <v>8</v>
      </c>
    </row>
    <row r="916" spans="1:9" ht="12.75" x14ac:dyDescent="0.2">
      <c r="A916" s="3">
        <v>45968</v>
      </c>
      <c r="B916" s="1" t="str">
        <f t="shared" si="21"/>
        <v>07/11/25 Viernes</v>
      </c>
      <c r="C916" s="1" t="s">
        <v>12</v>
      </c>
      <c r="D916" s="1">
        <v>452</v>
      </c>
      <c r="E916" s="2">
        <v>840</v>
      </c>
      <c r="F916" s="2">
        <v>625</v>
      </c>
      <c r="G916" s="2">
        <v>215</v>
      </c>
      <c r="H916" s="1">
        <v>570</v>
      </c>
      <c r="I916" s="2">
        <v>55</v>
      </c>
    </row>
    <row r="917" spans="1:9" ht="12.75" x14ac:dyDescent="0.2">
      <c r="A917" s="3">
        <v>45968</v>
      </c>
      <c r="B917" s="1" t="str">
        <f t="shared" si="21"/>
        <v>07/11/25 Viernes</v>
      </c>
      <c r="C917" s="1" t="s">
        <v>13</v>
      </c>
      <c r="D917" s="1">
        <v>926</v>
      </c>
      <c r="E917" s="2">
        <v>928</v>
      </c>
      <c r="F917" s="2">
        <v>683</v>
      </c>
      <c r="G917" s="2">
        <v>245</v>
      </c>
      <c r="H917" s="1">
        <v>623</v>
      </c>
      <c r="I917" s="2">
        <v>60</v>
      </c>
    </row>
    <row r="918" spans="1:9" ht="12.75" x14ac:dyDescent="0.2">
      <c r="A918" s="3">
        <v>45968</v>
      </c>
      <c r="B918" s="1" t="str">
        <f t="shared" si="21"/>
        <v>07/11/25 Viernes</v>
      </c>
      <c r="C918" s="1" t="s">
        <v>14</v>
      </c>
      <c r="D918" s="1">
        <v>1099</v>
      </c>
      <c r="E918" s="2">
        <v>723</v>
      </c>
      <c r="F918" s="2">
        <v>634</v>
      </c>
      <c r="G918" s="2">
        <v>89</v>
      </c>
      <c r="H918" s="1">
        <v>524</v>
      </c>
      <c r="I918" s="2">
        <v>110</v>
      </c>
    </row>
    <row r="919" spans="1:9" ht="12.75" x14ac:dyDescent="0.2">
      <c r="A919" s="3">
        <v>45968</v>
      </c>
      <c r="B919" s="1" t="str">
        <f t="shared" si="21"/>
        <v>07/11/25 Viernes</v>
      </c>
      <c r="C919" s="1" t="s">
        <v>15</v>
      </c>
      <c r="D919" s="1">
        <v>663</v>
      </c>
      <c r="E919" s="2">
        <v>550</v>
      </c>
      <c r="F919" s="2">
        <v>404</v>
      </c>
      <c r="G919" s="2">
        <v>146</v>
      </c>
      <c r="H919" s="1">
        <v>382</v>
      </c>
      <c r="I919" s="2">
        <v>22</v>
      </c>
    </row>
    <row r="920" spans="1:9" ht="12.75" x14ac:dyDescent="0.2">
      <c r="A920" s="3">
        <v>45969</v>
      </c>
      <c r="B920" s="1" t="str">
        <f t="shared" si="21"/>
        <v>08/11/25 Sábado</v>
      </c>
      <c r="C920" s="1" t="s">
        <v>8</v>
      </c>
      <c r="D920" s="1">
        <v>693</v>
      </c>
      <c r="E920" s="2">
        <v>557</v>
      </c>
      <c r="F920" s="2">
        <v>318</v>
      </c>
      <c r="G920" s="2">
        <v>239</v>
      </c>
      <c r="H920" s="1">
        <v>295</v>
      </c>
      <c r="I920" s="2">
        <v>23</v>
      </c>
    </row>
    <row r="921" spans="1:9" ht="12.75" x14ac:dyDescent="0.2">
      <c r="A921" s="3">
        <v>45969</v>
      </c>
      <c r="B921" s="1" t="str">
        <f t="shared" si="21"/>
        <v>08/11/25 Sábado</v>
      </c>
      <c r="C921" s="1" t="s">
        <v>9</v>
      </c>
      <c r="D921" s="1">
        <v>0</v>
      </c>
      <c r="E921" s="2">
        <v>63</v>
      </c>
      <c r="F921" s="2">
        <v>63</v>
      </c>
      <c r="G921" s="2">
        <v>0</v>
      </c>
      <c r="H921" s="1">
        <v>62</v>
      </c>
      <c r="I921" s="2">
        <v>1</v>
      </c>
    </row>
    <row r="922" spans="1:9" ht="12.75" x14ac:dyDescent="0.2">
      <c r="A922" s="3">
        <v>45969</v>
      </c>
      <c r="B922" s="1" t="str">
        <f t="shared" si="21"/>
        <v>08/11/25 Sábado</v>
      </c>
      <c r="C922" s="1" t="s">
        <v>10</v>
      </c>
      <c r="D922" s="1">
        <v>0</v>
      </c>
      <c r="E922" s="2">
        <v>137</v>
      </c>
      <c r="F922" s="2">
        <v>126</v>
      </c>
      <c r="G922" s="2">
        <v>11</v>
      </c>
      <c r="H922" s="1">
        <v>117</v>
      </c>
      <c r="I922" s="2">
        <v>9</v>
      </c>
    </row>
    <row r="923" spans="1:9" ht="12.75" x14ac:dyDescent="0.2">
      <c r="A923" s="3">
        <v>45969</v>
      </c>
      <c r="B923" s="1" t="str">
        <f t="shared" si="21"/>
        <v>08/11/25 Sábado</v>
      </c>
      <c r="C923" s="1" t="s">
        <v>11</v>
      </c>
      <c r="D923" s="1">
        <v>0</v>
      </c>
      <c r="E923" s="2">
        <v>0</v>
      </c>
      <c r="F923" s="2">
        <v>0</v>
      </c>
      <c r="G923" s="2">
        <v>0</v>
      </c>
      <c r="H923" s="1">
        <v>0</v>
      </c>
      <c r="I923" s="2">
        <v>0</v>
      </c>
    </row>
    <row r="924" spans="1:9" ht="12.75" x14ac:dyDescent="0.2">
      <c r="A924" s="3">
        <v>45969</v>
      </c>
      <c r="B924" s="1" t="str">
        <f t="shared" si="21"/>
        <v>08/11/25 Sábado</v>
      </c>
      <c r="C924" s="1" t="s">
        <v>12</v>
      </c>
      <c r="D924" s="1">
        <v>935</v>
      </c>
      <c r="E924" s="2">
        <v>774</v>
      </c>
      <c r="F924" s="2">
        <v>527</v>
      </c>
      <c r="G924" s="2">
        <v>247</v>
      </c>
      <c r="H924" s="1">
        <v>462</v>
      </c>
      <c r="I924" s="2">
        <v>65</v>
      </c>
    </row>
    <row r="925" spans="1:9" ht="12.75" x14ac:dyDescent="0.2">
      <c r="A925" s="3">
        <v>45969</v>
      </c>
      <c r="B925" s="1" t="str">
        <f t="shared" si="21"/>
        <v>08/11/25 Sábado</v>
      </c>
      <c r="C925" s="1" t="s">
        <v>13</v>
      </c>
      <c r="D925" s="1">
        <v>288</v>
      </c>
      <c r="E925" s="2">
        <v>326</v>
      </c>
      <c r="F925" s="2">
        <v>269</v>
      </c>
      <c r="G925" s="2">
        <v>57</v>
      </c>
      <c r="H925" s="1">
        <v>242</v>
      </c>
      <c r="I925" s="2">
        <v>27</v>
      </c>
    </row>
    <row r="926" spans="1:9" ht="12.75" x14ac:dyDescent="0.2">
      <c r="A926" s="3">
        <v>45969</v>
      </c>
      <c r="B926" s="1" t="str">
        <f t="shared" si="21"/>
        <v>08/11/25 Sábado</v>
      </c>
      <c r="C926" s="1" t="s">
        <v>14</v>
      </c>
      <c r="D926" s="1">
        <v>286</v>
      </c>
      <c r="E926" s="2">
        <v>700</v>
      </c>
      <c r="F926" s="2">
        <v>514</v>
      </c>
      <c r="G926" s="2">
        <v>186</v>
      </c>
      <c r="H926" s="1">
        <v>468</v>
      </c>
      <c r="I926" s="2">
        <v>46</v>
      </c>
    </row>
    <row r="927" spans="1:9" ht="12.75" x14ac:dyDescent="0.2">
      <c r="A927" s="3">
        <v>45969</v>
      </c>
      <c r="B927" s="1" t="str">
        <f t="shared" si="21"/>
        <v>08/11/25 Sábado</v>
      </c>
      <c r="C927" s="1" t="s">
        <v>15</v>
      </c>
      <c r="D927" s="1">
        <v>737</v>
      </c>
      <c r="E927" s="2">
        <v>474</v>
      </c>
      <c r="F927" s="2">
        <v>238</v>
      </c>
      <c r="G927" s="2">
        <v>236</v>
      </c>
      <c r="H927" s="1">
        <v>218</v>
      </c>
      <c r="I927" s="2">
        <v>20</v>
      </c>
    </row>
    <row r="928" spans="1:9" ht="12.75" x14ac:dyDescent="0.2">
      <c r="A928" s="3">
        <v>45970</v>
      </c>
      <c r="B928" s="1" t="str">
        <f t="shared" si="21"/>
        <v>09/11/25 Domingo</v>
      </c>
      <c r="C928" s="1" t="s">
        <v>8</v>
      </c>
      <c r="D928" s="1">
        <v>138</v>
      </c>
      <c r="E928" s="2">
        <v>669</v>
      </c>
      <c r="F928" s="2">
        <v>190</v>
      </c>
      <c r="G928" s="2">
        <v>479</v>
      </c>
      <c r="H928" s="1">
        <v>161</v>
      </c>
      <c r="I928" s="2">
        <v>29</v>
      </c>
    </row>
    <row r="929" spans="1:9" ht="12.75" x14ac:dyDescent="0.2">
      <c r="A929" s="3">
        <v>45970</v>
      </c>
      <c r="B929" s="1" t="str">
        <f t="shared" si="21"/>
        <v>09/11/25 Domingo</v>
      </c>
      <c r="C929" s="1" t="s">
        <v>9</v>
      </c>
      <c r="D929" s="1">
        <v>301</v>
      </c>
      <c r="E929" s="2">
        <v>157</v>
      </c>
      <c r="F929" s="2">
        <v>157</v>
      </c>
      <c r="G929" s="2">
        <v>0</v>
      </c>
      <c r="H929" s="1">
        <v>154</v>
      </c>
      <c r="I929" s="2">
        <v>3</v>
      </c>
    </row>
    <row r="930" spans="1:9" ht="12.75" x14ac:dyDescent="0.2">
      <c r="A930" s="3">
        <v>45970</v>
      </c>
      <c r="B930" s="1" t="str">
        <f t="shared" si="21"/>
        <v>09/11/25 Domingo</v>
      </c>
      <c r="C930" s="1" t="s">
        <v>10</v>
      </c>
      <c r="D930" s="1">
        <v>945</v>
      </c>
      <c r="E930" s="2">
        <v>749</v>
      </c>
      <c r="F930" s="2">
        <v>590</v>
      </c>
      <c r="G930" s="2">
        <v>159</v>
      </c>
      <c r="H930" s="1">
        <v>577</v>
      </c>
      <c r="I930" s="2">
        <v>13</v>
      </c>
    </row>
    <row r="931" spans="1:9" ht="12.75" x14ac:dyDescent="0.2">
      <c r="A931" s="3">
        <v>45970</v>
      </c>
      <c r="B931" s="1" t="str">
        <f t="shared" si="21"/>
        <v>09/11/25 Domingo</v>
      </c>
      <c r="C931" s="1" t="s">
        <v>11</v>
      </c>
      <c r="D931" s="1">
        <v>1659</v>
      </c>
      <c r="E931" s="2">
        <v>1161</v>
      </c>
      <c r="F931" s="2">
        <v>1024</v>
      </c>
      <c r="G931" s="2">
        <v>137</v>
      </c>
      <c r="H931" s="1">
        <v>1015</v>
      </c>
      <c r="I931" s="2">
        <v>9</v>
      </c>
    </row>
    <row r="932" spans="1:9" ht="12.75" x14ac:dyDescent="0.2">
      <c r="A932" s="3">
        <v>45970</v>
      </c>
      <c r="B932" s="1" t="str">
        <f t="shared" si="21"/>
        <v>09/11/25 Domingo</v>
      </c>
      <c r="C932" s="1" t="s">
        <v>12</v>
      </c>
      <c r="D932" s="1">
        <v>452</v>
      </c>
      <c r="E932" s="2">
        <v>0</v>
      </c>
      <c r="F932" s="2">
        <v>0</v>
      </c>
      <c r="G932" s="2">
        <v>0</v>
      </c>
      <c r="H932" s="1">
        <v>0</v>
      </c>
      <c r="I932" s="2">
        <v>0</v>
      </c>
    </row>
    <row r="933" spans="1:9" ht="12.75" x14ac:dyDescent="0.2">
      <c r="A933" s="3">
        <v>45970</v>
      </c>
      <c r="B933" s="1" t="str">
        <f t="shared" si="21"/>
        <v>09/11/25 Domingo</v>
      </c>
      <c r="C933" s="1" t="s">
        <v>13</v>
      </c>
      <c r="D933" s="1">
        <v>378</v>
      </c>
      <c r="E933" s="2">
        <v>264</v>
      </c>
      <c r="F933" s="2">
        <v>81</v>
      </c>
      <c r="G933" s="2">
        <v>183</v>
      </c>
      <c r="H933" s="1">
        <v>78</v>
      </c>
      <c r="I933" s="2">
        <v>3</v>
      </c>
    </row>
    <row r="934" spans="1:9" ht="12.75" x14ac:dyDescent="0.2">
      <c r="A934" s="3">
        <v>45970</v>
      </c>
      <c r="B934" s="1" t="str">
        <f t="shared" si="21"/>
        <v>09/11/25 Domingo</v>
      </c>
      <c r="C934" s="1" t="s">
        <v>14</v>
      </c>
      <c r="D934" s="1">
        <v>36</v>
      </c>
      <c r="E934" s="2">
        <v>0</v>
      </c>
      <c r="F934" s="2">
        <v>0</v>
      </c>
      <c r="G934" s="2">
        <v>0</v>
      </c>
      <c r="H934" s="1">
        <v>0</v>
      </c>
      <c r="I934" s="2">
        <v>0</v>
      </c>
    </row>
    <row r="935" spans="1:9" ht="12.75" x14ac:dyDescent="0.2">
      <c r="A935" s="3">
        <v>45970</v>
      </c>
      <c r="B935" s="1" t="str">
        <f t="shared" si="21"/>
        <v>09/11/25 Domingo</v>
      </c>
      <c r="C935" s="1" t="s">
        <v>15</v>
      </c>
      <c r="D935" s="1">
        <v>0</v>
      </c>
      <c r="E935" s="2">
        <v>1</v>
      </c>
      <c r="F935" s="2">
        <v>1</v>
      </c>
      <c r="G935" s="2">
        <v>0</v>
      </c>
      <c r="H935" s="1">
        <v>1</v>
      </c>
      <c r="I935" s="2">
        <v>0</v>
      </c>
    </row>
    <row r="936" spans="1:9" ht="12.75" x14ac:dyDescent="0.2">
      <c r="A936" s="3">
        <v>45971</v>
      </c>
      <c r="B936" s="1" t="str">
        <f t="shared" si="21"/>
        <v>10/11/25 Lunes</v>
      </c>
      <c r="C936" s="1" t="s">
        <v>8</v>
      </c>
      <c r="D936" s="1">
        <v>697</v>
      </c>
      <c r="E936" s="2">
        <v>1220</v>
      </c>
      <c r="F936" s="2">
        <v>461</v>
      </c>
      <c r="G936" s="2">
        <v>759</v>
      </c>
      <c r="H936" s="1">
        <v>403</v>
      </c>
      <c r="I936" s="2">
        <v>58</v>
      </c>
    </row>
    <row r="937" spans="1:9" ht="12.75" x14ac:dyDescent="0.2">
      <c r="A937" s="3">
        <v>45971</v>
      </c>
      <c r="B937" s="1" t="str">
        <f t="shared" si="21"/>
        <v>10/11/25 Lunes</v>
      </c>
      <c r="C937" s="1" t="s">
        <v>9</v>
      </c>
      <c r="D937" s="1">
        <v>48</v>
      </c>
      <c r="E937" s="2">
        <v>48</v>
      </c>
      <c r="F937" s="2">
        <v>48</v>
      </c>
      <c r="G937" s="2">
        <v>0</v>
      </c>
      <c r="H937" s="1">
        <v>45</v>
      </c>
      <c r="I937" s="2">
        <v>3</v>
      </c>
    </row>
    <row r="938" spans="1:9" ht="12.75" x14ac:dyDescent="0.2">
      <c r="A938" s="3">
        <v>45971</v>
      </c>
      <c r="B938" s="1" t="str">
        <f t="shared" si="21"/>
        <v>10/11/25 Lunes</v>
      </c>
      <c r="C938" s="1" t="s">
        <v>10</v>
      </c>
      <c r="D938" s="1">
        <v>697</v>
      </c>
      <c r="E938" s="2">
        <v>882</v>
      </c>
      <c r="F938" s="2">
        <v>576</v>
      </c>
      <c r="G938" s="2">
        <v>306</v>
      </c>
      <c r="H938" s="1">
        <v>569</v>
      </c>
      <c r="I938" s="2">
        <v>7</v>
      </c>
    </row>
    <row r="939" spans="1:9" ht="12.75" x14ac:dyDescent="0.2">
      <c r="A939" s="3">
        <v>45971</v>
      </c>
      <c r="B939" s="1" t="str">
        <f t="shared" si="21"/>
        <v>10/11/25 Lunes</v>
      </c>
      <c r="C939" s="1" t="s">
        <v>11</v>
      </c>
      <c r="D939" s="1">
        <v>832</v>
      </c>
      <c r="E939" s="2">
        <v>766</v>
      </c>
      <c r="F939" s="2">
        <v>763</v>
      </c>
      <c r="G939" s="2">
        <v>3</v>
      </c>
      <c r="H939" s="1">
        <v>753</v>
      </c>
      <c r="I939" s="2">
        <v>10</v>
      </c>
    </row>
    <row r="940" spans="1:9" ht="12.75" x14ac:dyDescent="0.2">
      <c r="A940" s="3">
        <v>45971</v>
      </c>
      <c r="B940" s="1" t="str">
        <f t="shared" si="21"/>
        <v>10/11/25 Lunes</v>
      </c>
      <c r="C940" s="1" t="s">
        <v>12</v>
      </c>
      <c r="D940" s="1">
        <v>352</v>
      </c>
      <c r="E940" s="2">
        <v>846</v>
      </c>
      <c r="F940" s="2">
        <v>484</v>
      </c>
      <c r="G940" s="2">
        <v>362</v>
      </c>
      <c r="H940" s="1">
        <v>435</v>
      </c>
      <c r="I940" s="2">
        <v>49</v>
      </c>
    </row>
    <row r="941" spans="1:9" ht="12.75" x14ac:dyDescent="0.2">
      <c r="A941" s="3">
        <v>45971</v>
      </c>
      <c r="B941" s="1" t="str">
        <f t="shared" si="21"/>
        <v>10/11/25 Lunes</v>
      </c>
      <c r="C941" s="1" t="s">
        <v>13</v>
      </c>
      <c r="D941" s="1">
        <v>926</v>
      </c>
      <c r="E941" s="2">
        <v>780</v>
      </c>
      <c r="F941" s="2">
        <v>608</v>
      </c>
      <c r="G941" s="2">
        <v>172</v>
      </c>
      <c r="H941" s="1">
        <v>595</v>
      </c>
      <c r="I941" s="2">
        <v>13</v>
      </c>
    </row>
    <row r="942" spans="1:9" ht="12.75" x14ac:dyDescent="0.2">
      <c r="A942" s="3">
        <v>45971</v>
      </c>
      <c r="B942" s="1" t="str">
        <f t="shared" si="21"/>
        <v>10/11/25 Lunes</v>
      </c>
      <c r="C942" s="1" t="s">
        <v>14</v>
      </c>
      <c r="D942" s="1">
        <v>1099</v>
      </c>
      <c r="E942" s="2">
        <v>784</v>
      </c>
      <c r="F942" s="2">
        <v>447</v>
      </c>
      <c r="G942" s="2">
        <v>337</v>
      </c>
      <c r="H942" s="1">
        <v>383</v>
      </c>
      <c r="I942" s="2">
        <v>64</v>
      </c>
    </row>
    <row r="943" spans="1:9" ht="12.75" x14ac:dyDescent="0.2">
      <c r="A943" s="3">
        <v>45971</v>
      </c>
      <c r="B943" s="1" t="str">
        <f t="shared" si="21"/>
        <v>10/11/25 Lunes</v>
      </c>
      <c r="C943" s="1" t="s">
        <v>15</v>
      </c>
      <c r="D943" s="1">
        <v>663</v>
      </c>
      <c r="E943" s="2">
        <v>671</v>
      </c>
      <c r="F943" s="2">
        <v>295</v>
      </c>
      <c r="G943" s="2">
        <v>376</v>
      </c>
      <c r="H943" s="1">
        <v>266</v>
      </c>
      <c r="I943" s="2">
        <v>29</v>
      </c>
    </row>
    <row r="944" spans="1:9" ht="12.75" x14ac:dyDescent="0.2">
      <c r="A944" s="3">
        <v>45972</v>
      </c>
      <c r="B944" s="1" t="str">
        <f t="shared" si="21"/>
        <v>11/11/25 Martes</v>
      </c>
      <c r="C944" s="1" t="s">
        <v>8</v>
      </c>
      <c r="D944" s="1">
        <v>690</v>
      </c>
      <c r="E944" s="2">
        <v>724</v>
      </c>
      <c r="F944" s="2">
        <v>425</v>
      </c>
      <c r="G944" s="2">
        <v>299</v>
      </c>
      <c r="H944" s="1">
        <v>387</v>
      </c>
      <c r="I944" s="2">
        <v>38</v>
      </c>
    </row>
    <row r="945" spans="1:9" ht="12.75" x14ac:dyDescent="0.2">
      <c r="A945" s="3">
        <v>45972</v>
      </c>
      <c r="B945" s="1" t="str">
        <f t="shared" si="21"/>
        <v>11/11/25 Martes</v>
      </c>
      <c r="C945" s="1" t="s">
        <v>9</v>
      </c>
      <c r="D945" s="1">
        <v>253</v>
      </c>
      <c r="E945" s="2">
        <v>253</v>
      </c>
      <c r="F945" s="2">
        <v>234</v>
      </c>
      <c r="G945" s="2">
        <v>19</v>
      </c>
      <c r="H945" s="1">
        <v>230</v>
      </c>
      <c r="I945" s="2">
        <v>4</v>
      </c>
    </row>
    <row r="946" spans="1:9" ht="12.75" x14ac:dyDescent="0.2">
      <c r="A946" s="3">
        <v>45972</v>
      </c>
      <c r="B946" s="1" t="str">
        <f t="shared" si="21"/>
        <v>11/11/25 Martes</v>
      </c>
      <c r="C946" s="1" t="s">
        <v>10</v>
      </c>
      <c r="D946" s="1">
        <v>945</v>
      </c>
      <c r="E946" s="2">
        <v>588</v>
      </c>
      <c r="F946" s="2">
        <v>175</v>
      </c>
      <c r="G946" s="2">
        <v>413</v>
      </c>
      <c r="H946" s="1">
        <v>166</v>
      </c>
      <c r="I946" s="2">
        <v>9</v>
      </c>
    </row>
    <row r="947" spans="1:9" ht="12.75" x14ac:dyDescent="0.2">
      <c r="A947" s="3">
        <v>45972</v>
      </c>
      <c r="B947" s="1" t="str">
        <f t="shared" si="21"/>
        <v>11/11/25 Martes</v>
      </c>
      <c r="C947" s="1" t="s">
        <v>11</v>
      </c>
      <c r="D947" s="1">
        <v>951</v>
      </c>
      <c r="E947" s="2">
        <v>990</v>
      </c>
      <c r="F947" s="2">
        <v>990</v>
      </c>
      <c r="G947" s="2">
        <v>0</v>
      </c>
      <c r="H947" s="1">
        <v>980</v>
      </c>
      <c r="I947" s="2">
        <v>10</v>
      </c>
    </row>
    <row r="948" spans="1:9" ht="12.75" x14ac:dyDescent="0.2">
      <c r="A948" s="3">
        <v>45972</v>
      </c>
      <c r="B948" s="1" t="str">
        <f t="shared" si="21"/>
        <v>11/11/25 Martes</v>
      </c>
      <c r="C948" s="1" t="s">
        <v>12</v>
      </c>
      <c r="D948" s="1">
        <v>1035</v>
      </c>
      <c r="E948" s="2">
        <v>653</v>
      </c>
      <c r="F948" s="2">
        <v>449</v>
      </c>
      <c r="G948" s="2">
        <v>204</v>
      </c>
      <c r="H948" s="1">
        <v>404</v>
      </c>
      <c r="I948" s="2">
        <v>45</v>
      </c>
    </row>
    <row r="949" spans="1:9" ht="12.75" x14ac:dyDescent="0.2">
      <c r="A949" s="3">
        <v>45972</v>
      </c>
      <c r="B949" s="1" t="str">
        <f t="shared" si="21"/>
        <v>11/11/25 Martes</v>
      </c>
      <c r="C949" s="1" t="s">
        <v>13</v>
      </c>
      <c r="D949" s="1">
        <v>480</v>
      </c>
      <c r="E949" s="2">
        <v>556</v>
      </c>
      <c r="F949" s="2">
        <v>499</v>
      </c>
      <c r="G949" s="2">
        <v>57</v>
      </c>
      <c r="H949" s="1">
        <v>483</v>
      </c>
      <c r="I949" s="2">
        <v>16</v>
      </c>
    </row>
    <row r="950" spans="1:9" ht="12.75" x14ac:dyDescent="0.2">
      <c r="A950" s="3">
        <v>45972</v>
      </c>
      <c r="B950" s="1" t="str">
        <f t="shared" si="21"/>
        <v>11/11/25 Martes</v>
      </c>
      <c r="C950" s="1" t="s">
        <v>14</v>
      </c>
      <c r="D950" s="1">
        <v>286</v>
      </c>
      <c r="E950" s="2">
        <v>897</v>
      </c>
      <c r="F950" s="2">
        <v>505</v>
      </c>
      <c r="G950" s="2">
        <v>392</v>
      </c>
      <c r="H950" s="1">
        <v>452</v>
      </c>
      <c r="I950" s="2">
        <v>53</v>
      </c>
    </row>
    <row r="951" spans="1:9" ht="12.75" x14ac:dyDescent="0.2">
      <c r="A951" s="3">
        <v>45972</v>
      </c>
      <c r="B951" s="1" t="str">
        <f t="shared" si="21"/>
        <v>11/11/25 Martes</v>
      </c>
      <c r="C951" s="1" t="s">
        <v>15</v>
      </c>
      <c r="D951" s="1">
        <v>737</v>
      </c>
      <c r="E951" s="2">
        <v>741</v>
      </c>
      <c r="F951" s="2">
        <v>432</v>
      </c>
      <c r="G951" s="2">
        <v>309</v>
      </c>
      <c r="H951" s="1">
        <v>388</v>
      </c>
      <c r="I951" s="2">
        <v>44</v>
      </c>
    </row>
    <row r="952" spans="1:9" ht="12.75" x14ac:dyDescent="0.2">
      <c r="A952" s="34">
        <v>45973</v>
      </c>
      <c r="B952" s="35" t="str">
        <f t="shared" ref="B952:B959" si="22">PROPER(TEXT(A952,"[$-es-ES]dd/mm/yy dddd"))</f>
        <v>12/11/25 Miércoles</v>
      </c>
      <c r="C952" s="35" t="s">
        <v>8</v>
      </c>
      <c r="D952" s="35">
        <v>697</v>
      </c>
      <c r="E952" s="36">
        <v>826</v>
      </c>
      <c r="F952" s="36">
        <v>585</v>
      </c>
      <c r="G952" s="36">
        <v>241</v>
      </c>
      <c r="H952" s="35">
        <v>530</v>
      </c>
      <c r="I952" s="36">
        <v>55</v>
      </c>
    </row>
    <row r="953" spans="1:9" ht="12.75" x14ac:dyDescent="0.2">
      <c r="A953" s="34">
        <v>45973</v>
      </c>
      <c r="B953" s="35" t="str">
        <f t="shared" si="22"/>
        <v>12/11/25 Miércoles</v>
      </c>
      <c r="C953" s="35" t="s">
        <v>9</v>
      </c>
      <c r="D953" s="35">
        <v>48</v>
      </c>
      <c r="E953" s="36">
        <v>70</v>
      </c>
      <c r="F953" s="36">
        <v>70</v>
      </c>
      <c r="G953" s="36">
        <v>0</v>
      </c>
      <c r="H953" s="35">
        <v>69</v>
      </c>
      <c r="I953" s="36">
        <v>1</v>
      </c>
    </row>
    <row r="954" spans="1:9" ht="12.75" x14ac:dyDescent="0.2">
      <c r="A954" s="34">
        <v>45973</v>
      </c>
      <c r="B954" s="35" t="str">
        <f t="shared" si="22"/>
        <v>12/11/25 Miércoles</v>
      </c>
      <c r="C954" s="35" t="s">
        <v>10</v>
      </c>
      <c r="D954" s="35">
        <v>697</v>
      </c>
      <c r="E954" s="36">
        <v>963</v>
      </c>
      <c r="F954" s="36">
        <v>589</v>
      </c>
      <c r="G954" s="36">
        <v>374</v>
      </c>
      <c r="H954" s="35">
        <v>581</v>
      </c>
      <c r="I954" s="36">
        <v>8</v>
      </c>
    </row>
    <row r="955" spans="1:9" ht="12.75" x14ac:dyDescent="0.2">
      <c r="A955" s="34">
        <v>45973</v>
      </c>
      <c r="B955" s="35" t="str">
        <f t="shared" si="22"/>
        <v>12/11/25 Miércoles</v>
      </c>
      <c r="C955" s="35" t="s">
        <v>11</v>
      </c>
      <c r="D955" s="35">
        <v>832</v>
      </c>
      <c r="E955" s="36">
        <v>810</v>
      </c>
      <c r="F955" s="36">
        <v>780</v>
      </c>
      <c r="G955" s="36">
        <v>30</v>
      </c>
      <c r="H955" s="35">
        <v>765</v>
      </c>
      <c r="I955" s="36">
        <v>15</v>
      </c>
    </row>
    <row r="956" spans="1:9" ht="12.75" x14ac:dyDescent="0.2">
      <c r="A956" s="34">
        <v>45973</v>
      </c>
      <c r="B956" s="35" t="str">
        <f t="shared" si="22"/>
        <v>12/11/25 Miércoles</v>
      </c>
      <c r="C956" s="35" t="s">
        <v>12</v>
      </c>
      <c r="D956" s="35">
        <v>352</v>
      </c>
      <c r="E956" s="36">
        <v>735</v>
      </c>
      <c r="F956" s="36">
        <v>471</v>
      </c>
      <c r="G956" s="36">
        <v>264</v>
      </c>
      <c r="H956" s="35">
        <v>417</v>
      </c>
      <c r="I956" s="36">
        <v>54</v>
      </c>
    </row>
    <row r="957" spans="1:9" ht="12.75" x14ac:dyDescent="0.2">
      <c r="A957" s="34">
        <v>45973</v>
      </c>
      <c r="B957" s="35" t="str">
        <f t="shared" si="22"/>
        <v>12/11/25 Miércoles</v>
      </c>
      <c r="C957" s="35" t="s">
        <v>13</v>
      </c>
      <c r="D957" s="35">
        <v>890</v>
      </c>
      <c r="E957" s="36">
        <v>494</v>
      </c>
      <c r="F957" s="36">
        <v>453</v>
      </c>
      <c r="G957" s="36">
        <v>41</v>
      </c>
      <c r="H957" s="35">
        <v>394</v>
      </c>
      <c r="I957" s="36">
        <v>59</v>
      </c>
    </row>
    <row r="958" spans="1:9" ht="12.75" x14ac:dyDescent="0.2">
      <c r="A958" s="34">
        <v>45973</v>
      </c>
      <c r="B958" s="35" t="str">
        <f t="shared" si="22"/>
        <v>12/11/25 Miércoles</v>
      </c>
      <c r="C958" s="35" t="s">
        <v>14</v>
      </c>
      <c r="D958" s="35">
        <v>1099</v>
      </c>
      <c r="E958" s="36">
        <v>628</v>
      </c>
      <c r="F958" s="36">
        <v>347</v>
      </c>
      <c r="G958" s="36">
        <v>281</v>
      </c>
      <c r="H958" s="35">
        <v>306</v>
      </c>
      <c r="I958" s="36">
        <v>41</v>
      </c>
    </row>
    <row r="959" spans="1:9" ht="12.75" x14ac:dyDescent="0.2">
      <c r="A959" s="34">
        <v>45973</v>
      </c>
      <c r="B959" s="35" t="str">
        <f t="shared" si="22"/>
        <v>12/11/25 Miércoles</v>
      </c>
      <c r="C959" s="35" t="s">
        <v>15</v>
      </c>
      <c r="D959" s="35">
        <v>663</v>
      </c>
      <c r="E959" s="36">
        <v>430</v>
      </c>
      <c r="F959" s="36">
        <v>217</v>
      </c>
      <c r="G959" s="36">
        <v>213</v>
      </c>
      <c r="H959" s="35">
        <v>195</v>
      </c>
      <c r="I959" s="36">
        <v>22</v>
      </c>
    </row>
    <row r="960" spans="1:9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spans="1:9" ht="12.75" x14ac:dyDescent="0.2"/>
    <row r="1042" spans="1:9" ht="12.75" x14ac:dyDescent="0.2"/>
    <row r="1043" spans="1:9" ht="12.75" x14ac:dyDescent="0.2"/>
    <row r="1044" spans="1:9" ht="12.75" x14ac:dyDescent="0.2"/>
    <row r="1045" spans="1:9" ht="12.75" x14ac:dyDescent="0.2"/>
    <row r="1046" spans="1:9" ht="12.75" x14ac:dyDescent="0.2"/>
    <row r="1047" spans="1:9" ht="12.75" x14ac:dyDescent="0.2"/>
    <row r="1048" spans="1:9" ht="12.75" x14ac:dyDescent="0.2"/>
    <row r="1049" spans="1:9" ht="12.75" x14ac:dyDescent="0.2"/>
    <row r="1050" spans="1:9" ht="12.75" x14ac:dyDescent="0.2"/>
    <row r="1051" spans="1:9" ht="12.75" x14ac:dyDescent="0.2"/>
    <row r="1052" spans="1:9" ht="12.75" x14ac:dyDescent="0.2"/>
    <row r="1053" spans="1:9" ht="12.75" x14ac:dyDescent="0.2"/>
    <row r="1054" spans="1:9" ht="12.75" x14ac:dyDescent="0.2"/>
    <row r="1055" spans="1:9" ht="12.75" x14ac:dyDescent="0.2"/>
    <row r="1056" spans="1:9" ht="12.75" x14ac:dyDescent="0.2">
      <c r="A1056" s="3"/>
      <c r="B1056" s="3"/>
      <c r="C1056" s="1"/>
      <c r="D1056" s="1"/>
      <c r="E1056" s="2"/>
      <c r="F1056" s="2"/>
      <c r="G1056" s="2"/>
      <c r="H1056" s="1"/>
      <c r="I1056" s="2"/>
    </row>
    <row r="1057" spans="1:9" ht="12.75" x14ac:dyDescent="0.2">
      <c r="A1057" s="3"/>
      <c r="B1057" s="3"/>
      <c r="C1057" s="1"/>
      <c r="D1057" s="1"/>
      <c r="E1057" s="2"/>
      <c r="F1057" s="2"/>
      <c r="G1057" s="2"/>
      <c r="H1057" s="1"/>
      <c r="I1057" s="2"/>
    </row>
    <row r="1058" spans="1:9" ht="12.75" x14ac:dyDescent="0.2">
      <c r="A1058" s="3"/>
      <c r="B1058" s="3"/>
      <c r="C1058" s="1"/>
      <c r="D1058" s="1"/>
      <c r="E1058" s="2"/>
      <c r="F1058" s="2"/>
      <c r="G1058" s="2"/>
      <c r="H1058" s="1"/>
      <c r="I1058" s="2"/>
    </row>
    <row r="1059" spans="1:9" ht="12.75" x14ac:dyDescent="0.2">
      <c r="A1059" s="3"/>
      <c r="B1059" s="3"/>
      <c r="C1059" s="1"/>
      <c r="D1059" s="1"/>
      <c r="E1059" s="2"/>
      <c r="F1059" s="2"/>
      <c r="G1059" s="2"/>
      <c r="H1059" s="1"/>
      <c r="I1059" s="2"/>
    </row>
    <row r="1060" spans="1:9" ht="12.75" x14ac:dyDescent="0.2">
      <c r="A1060" s="3"/>
      <c r="B1060" s="3"/>
      <c r="C1060" s="1"/>
      <c r="D1060" s="1"/>
      <c r="E1060" s="2"/>
      <c r="F1060" s="2"/>
      <c r="G1060" s="2"/>
      <c r="H1060" s="1"/>
      <c r="I1060" s="2"/>
    </row>
    <row r="1061" spans="1:9" ht="12.75" x14ac:dyDescent="0.2">
      <c r="A1061" s="3"/>
      <c r="B1061" s="3"/>
      <c r="C1061" s="1"/>
      <c r="D1061" s="1"/>
      <c r="E1061" s="2"/>
      <c r="F1061" s="2"/>
      <c r="G1061" s="2"/>
      <c r="H1061" s="1"/>
      <c r="I1061" s="2"/>
    </row>
    <row r="1062" spans="1:9" ht="12.75" x14ac:dyDescent="0.2">
      <c r="A1062" s="3"/>
      <c r="B1062" s="3"/>
      <c r="C1062" s="1"/>
      <c r="D1062" s="1"/>
      <c r="E1062" s="2"/>
      <c r="F1062" s="2"/>
      <c r="G1062" s="2"/>
      <c r="H1062" s="1"/>
      <c r="I1062" s="2"/>
    </row>
    <row r="1063" spans="1:9" ht="12.75" x14ac:dyDescent="0.2">
      <c r="A1063" s="3"/>
      <c r="B1063" s="3"/>
      <c r="C1063" s="1"/>
      <c r="D1063" s="1"/>
      <c r="E1063" s="2"/>
      <c r="F1063" s="2"/>
      <c r="G1063" s="2"/>
      <c r="H1063" s="1"/>
      <c r="I1063" s="2"/>
    </row>
    <row r="1064" spans="1:9" ht="12.75" x14ac:dyDescent="0.2">
      <c r="A1064" s="3"/>
      <c r="B1064" s="3"/>
      <c r="C1064" s="1"/>
      <c r="D1064" s="1"/>
      <c r="E1064" s="2"/>
      <c r="F1064" s="2"/>
      <c r="G1064" s="2"/>
      <c r="H1064" s="1"/>
      <c r="I1064" s="2"/>
    </row>
    <row r="1065" spans="1:9" ht="12.75" x14ac:dyDescent="0.2">
      <c r="A1065" s="3"/>
      <c r="B1065" s="3"/>
      <c r="C1065" s="1"/>
      <c r="D1065" s="1"/>
      <c r="E1065" s="2"/>
      <c r="F1065" s="2"/>
      <c r="G1065" s="2"/>
      <c r="H1065" s="1"/>
      <c r="I1065" s="2"/>
    </row>
    <row r="1066" spans="1:9" ht="12.75" x14ac:dyDescent="0.2">
      <c r="A1066" s="3"/>
      <c r="B1066" s="3"/>
      <c r="C1066" s="1"/>
      <c r="D1066" s="1"/>
      <c r="E1066" s="2"/>
      <c r="F1066" s="2"/>
      <c r="G1066" s="2"/>
      <c r="H1066" s="1"/>
      <c r="I1066" s="2"/>
    </row>
    <row r="1067" spans="1:9" ht="12.75" x14ac:dyDescent="0.2">
      <c r="A1067" s="3"/>
      <c r="B1067" s="3"/>
      <c r="C1067" s="1"/>
      <c r="D1067" s="1"/>
      <c r="E1067" s="2"/>
      <c r="F1067" s="2"/>
      <c r="G1067" s="2"/>
      <c r="H1067" s="1"/>
      <c r="I1067" s="2"/>
    </row>
    <row r="1068" spans="1:9" ht="12.75" x14ac:dyDescent="0.2">
      <c r="A1068" s="3"/>
      <c r="B1068" s="3"/>
      <c r="C1068" s="1"/>
      <c r="D1068" s="1"/>
      <c r="E1068" s="2"/>
      <c r="F1068" s="2"/>
      <c r="G1068" s="2"/>
      <c r="H1068" s="1"/>
      <c r="I1068" s="2"/>
    </row>
    <row r="1069" spans="1:9" ht="12.75" x14ac:dyDescent="0.2">
      <c r="A1069" s="3"/>
      <c r="B1069" s="3"/>
      <c r="C1069" s="1"/>
      <c r="D1069" s="1"/>
      <c r="E1069" s="2"/>
      <c r="F1069" s="2"/>
      <c r="G1069" s="2"/>
      <c r="H1069" s="1"/>
      <c r="I1069" s="2"/>
    </row>
    <row r="1070" spans="1:9" ht="12.75" x14ac:dyDescent="0.2">
      <c r="A1070" s="3"/>
      <c r="B1070" s="3"/>
      <c r="C1070" s="1"/>
      <c r="D1070" s="1"/>
      <c r="E1070" s="2"/>
      <c r="F1070" s="2"/>
      <c r="G1070" s="2"/>
      <c r="H1070" s="1"/>
      <c r="I1070" s="2"/>
    </row>
    <row r="1071" spans="1:9" ht="12.75" x14ac:dyDescent="0.2">
      <c r="A1071" s="3"/>
      <c r="B1071" s="3"/>
      <c r="C1071" s="1"/>
      <c r="D1071" s="1"/>
      <c r="E1071" s="2"/>
      <c r="F1071" s="2"/>
      <c r="G1071" s="2"/>
      <c r="H1071" s="1"/>
      <c r="I1071" s="2"/>
    </row>
    <row r="1072" spans="1:9" ht="12.75" x14ac:dyDescent="0.2">
      <c r="A1072" s="3"/>
      <c r="B1072" s="3"/>
      <c r="C1072" s="1"/>
      <c r="D1072" s="1"/>
      <c r="E1072" s="2"/>
      <c r="F1072" s="2"/>
      <c r="G1072" s="2"/>
      <c r="H1072" s="1"/>
      <c r="I1072" s="2"/>
    </row>
    <row r="1073" spans="1:9" ht="12.75" x14ac:dyDescent="0.2">
      <c r="A1073" s="3"/>
      <c r="B1073" s="3"/>
      <c r="C1073" s="1"/>
      <c r="D1073" s="1"/>
      <c r="E1073" s="2"/>
      <c r="F1073" s="2"/>
      <c r="G1073" s="2"/>
      <c r="H1073" s="1"/>
      <c r="I1073" s="2"/>
    </row>
    <row r="1074" spans="1:9" ht="12.75" x14ac:dyDescent="0.2">
      <c r="A1074" s="3"/>
      <c r="B1074" s="3"/>
      <c r="C1074" s="1"/>
      <c r="D1074" s="1"/>
      <c r="E1074" s="2"/>
      <c r="F1074" s="2"/>
      <c r="G1074" s="2"/>
      <c r="H1074" s="1"/>
      <c r="I1074" s="2"/>
    </row>
    <row r="1075" spans="1:9" ht="12.75" x14ac:dyDescent="0.2">
      <c r="A1075" s="3"/>
      <c r="B1075" s="3"/>
      <c r="C1075" s="1"/>
      <c r="D1075" s="1"/>
      <c r="E1075" s="2"/>
      <c r="F1075" s="2"/>
      <c r="G1075" s="2"/>
      <c r="H1075" s="1"/>
      <c r="I1075" s="2"/>
    </row>
    <row r="1076" spans="1:9" ht="12.75" x14ac:dyDescent="0.2">
      <c r="A1076" s="3"/>
      <c r="B1076" s="3"/>
      <c r="C1076" s="1"/>
      <c r="D1076" s="1"/>
      <c r="E1076" s="2"/>
      <c r="F1076" s="2"/>
      <c r="G1076" s="2"/>
      <c r="H1076" s="1"/>
      <c r="I1076" s="2"/>
    </row>
    <row r="1077" spans="1:9" ht="12.75" x14ac:dyDescent="0.2">
      <c r="A1077" s="3"/>
      <c r="B1077" s="3"/>
      <c r="C1077" s="1"/>
      <c r="D1077" s="1"/>
      <c r="E1077" s="2"/>
      <c r="F1077" s="2"/>
      <c r="G1077" s="2"/>
      <c r="H1077" s="1"/>
      <c r="I1077" s="2"/>
    </row>
    <row r="1078" spans="1:9" ht="12.75" x14ac:dyDescent="0.2">
      <c r="A1078" s="3"/>
      <c r="B1078" s="3"/>
      <c r="C1078" s="1"/>
      <c r="D1078" s="1"/>
      <c r="E1078" s="2"/>
      <c r="F1078" s="2"/>
      <c r="G1078" s="2"/>
      <c r="H1078" s="1"/>
      <c r="I1078" s="2"/>
    </row>
    <row r="1079" spans="1:9" ht="12.75" x14ac:dyDescent="0.2">
      <c r="A1079" s="3"/>
      <c r="B1079" s="3"/>
      <c r="C1079" s="1"/>
      <c r="D1079" s="1"/>
      <c r="E1079" s="2"/>
      <c r="F1079" s="2"/>
      <c r="G1079" s="2"/>
      <c r="H1079" s="1"/>
      <c r="I1079" s="2"/>
    </row>
    <row r="1080" spans="1:9" ht="12.75" x14ac:dyDescent="0.2">
      <c r="A1080" s="3"/>
      <c r="B1080" s="3"/>
      <c r="C1080" s="1"/>
      <c r="D1080" s="1"/>
      <c r="E1080" s="2"/>
      <c r="F1080" s="2"/>
      <c r="G1080" s="2"/>
      <c r="H1080" s="1"/>
      <c r="I1080" s="2"/>
    </row>
    <row r="1081" spans="1:9" ht="12.75" x14ac:dyDescent="0.2">
      <c r="A1081" s="3"/>
      <c r="B1081" s="3"/>
      <c r="C1081" s="1"/>
      <c r="D1081" s="1"/>
      <c r="E1081" s="2"/>
      <c r="F1081" s="2"/>
      <c r="G1081" s="2"/>
      <c r="H1081" s="1"/>
      <c r="I1081" s="2"/>
    </row>
    <row r="1082" spans="1:9" ht="12.75" x14ac:dyDescent="0.2">
      <c r="A1082" s="3"/>
      <c r="B1082" s="3"/>
      <c r="C1082" s="1"/>
      <c r="D1082" s="1"/>
      <c r="E1082" s="2"/>
      <c r="F1082" s="2"/>
      <c r="G1082" s="2"/>
      <c r="H1082" s="1"/>
      <c r="I1082" s="2"/>
    </row>
    <row r="1083" spans="1:9" ht="12.75" x14ac:dyDescent="0.2">
      <c r="A1083" s="3"/>
      <c r="B1083" s="3"/>
      <c r="C1083" s="1"/>
      <c r="D1083" s="1"/>
      <c r="E1083" s="2"/>
      <c r="F1083" s="2"/>
      <c r="G1083" s="2"/>
      <c r="H1083" s="1"/>
      <c r="I1083" s="2"/>
    </row>
    <row r="1084" spans="1:9" ht="12.75" x14ac:dyDescent="0.2">
      <c r="A1084" s="3"/>
      <c r="B1084" s="3"/>
      <c r="C1084" s="1"/>
      <c r="D1084" s="1"/>
      <c r="E1084" s="2"/>
      <c r="F1084" s="2"/>
      <c r="G1084" s="2"/>
      <c r="H1084" s="1"/>
      <c r="I1084" s="2"/>
    </row>
    <row r="1085" spans="1:9" ht="12.75" x14ac:dyDescent="0.2">
      <c r="A1085" s="3"/>
      <c r="B1085" s="3"/>
      <c r="C1085" s="1"/>
      <c r="D1085" s="1"/>
      <c r="E1085" s="2"/>
      <c r="F1085" s="2"/>
      <c r="G1085" s="2"/>
      <c r="H1085" s="1"/>
      <c r="I1085" s="2"/>
    </row>
    <row r="1086" spans="1:9" ht="12.75" x14ac:dyDescent="0.2">
      <c r="A1086" s="3"/>
      <c r="B1086" s="3"/>
      <c r="C1086" s="1"/>
      <c r="D1086" s="1"/>
      <c r="E1086" s="2"/>
      <c r="F1086" s="2"/>
      <c r="G1086" s="2"/>
      <c r="H1086" s="1"/>
      <c r="I1086" s="2"/>
    </row>
    <row r="1087" spans="1:9" ht="12.75" x14ac:dyDescent="0.2">
      <c r="A1087" s="3"/>
      <c r="B1087" s="3"/>
      <c r="C1087" s="1"/>
      <c r="D1087" s="1"/>
      <c r="E1087" s="2"/>
      <c r="F1087" s="2"/>
      <c r="G1087" s="2"/>
      <c r="H1087" s="1"/>
      <c r="I1087" s="2"/>
    </row>
    <row r="1088" spans="1:9" ht="12.75" x14ac:dyDescent="0.2">
      <c r="A1088" s="3"/>
      <c r="B1088" s="3"/>
      <c r="C1088" s="1"/>
      <c r="D1088" s="1"/>
      <c r="E1088" s="2"/>
      <c r="F1088" s="2"/>
      <c r="G1088" s="2"/>
      <c r="H1088" s="1"/>
      <c r="I1088" s="2"/>
    </row>
    <row r="1089" spans="1:9" ht="12.75" x14ac:dyDescent="0.2">
      <c r="A1089" s="3"/>
      <c r="B1089" s="3"/>
      <c r="C1089" s="1"/>
      <c r="D1089" s="1"/>
      <c r="E1089" s="2"/>
      <c r="F1089" s="2"/>
      <c r="G1089" s="2"/>
      <c r="H1089" s="1"/>
      <c r="I1089" s="2"/>
    </row>
    <row r="1090" spans="1:9" ht="12.75" x14ac:dyDescent="0.2">
      <c r="A1090" s="3"/>
      <c r="B1090" s="3"/>
      <c r="C1090" s="1"/>
      <c r="D1090" s="1"/>
      <c r="E1090" s="2"/>
      <c r="F1090" s="2"/>
      <c r="G1090" s="2"/>
      <c r="H1090" s="1"/>
      <c r="I1090" s="2"/>
    </row>
    <row r="1091" spans="1:9" ht="12.75" x14ac:dyDescent="0.2">
      <c r="A1091" s="3"/>
      <c r="B1091" s="3"/>
      <c r="C1091" s="1"/>
      <c r="D1091" s="1"/>
      <c r="E1091" s="2"/>
      <c r="F1091" s="2"/>
      <c r="G1091" s="2"/>
      <c r="H1091" s="1"/>
      <c r="I1091" s="2"/>
    </row>
    <row r="1092" spans="1:9" ht="12.75" x14ac:dyDescent="0.2">
      <c r="A1092" s="3"/>
      <c r="B1092" s="3"/>
      <c r="C1092" s="1"/>
      <c r="D1092" s="1"/>
      <c r="E1092" s="2"/>
      <c r="F1092" s="2"/>
      <c r="G1092" s="2"/>
      <c r="H1092" s="1"/>
      <c r="I1092" s="2"/>
    </row>
    <row r="1093" spans="1:9" ht="12.75" x14ac:dyDescent="0.2">
      <c r="A1093" s="3"/>
      <c r="B1093" s="3"/>
      <c r="C1093" s="1"/>
      <c r="D1093" s="1"/>
      <c r="E1093" s="2"/>
      <c r="F1093" s="2"/>
      <c r="G1093" s="2"/>
      <c r="H1093" s="1"/>
      <c r="I1093" s="2"/>
    </row>
    <row r="1094" spans="1:9" ht="12.75" x14ac:dyDescent="0.2">
      <c r="A1094" s="3"/>
      <c r="B1094" s="3"/>
      <c r="C1094" s="1"/>
      <c r="D1094" s="1"/>
      <c r="E1094" s="2"/>
      <c r="F1094" s="2"/>
      <c r="G1094" s="2"/>
      <c r="H1094" s="1"/>
      <c r="I1094" s="2"/>
    </row>
    <row r="1095" spans="1:9" ht="12.75" x14ac:dyDescent="0.2">
      <c r="A1095" s="3"/>
      <c r="B1095" s="3"/>
      <c r="C1095" s="1"/>
      <c r="D1095" s="1"/>
      <c r="E1095" s="2"/>
      <c r="F1095" s="2"/>
      <c r="G1095" s="2"/>
      <c r="H1095" s="1"/>
      <c r="I1095" s="2"/>
    </row>
    <row r="1096" spans="1:9" ht="12.75" x14ac:dyDescent="0.2">
      <c r="A1096" s="3"/>
      <c r="B1096" s="3"/>
      <c r="C1096" s="1"/>
      <c r="D1096" s="1"/>
      <c r="E1096" s="2"/>
      <c r="F1096" s="2"/>
      <c r="G1096" s="2"/>
      <c r="H1096" s="1"/>
      <c r="I1096" s="2"/>
    </row>
    <row r="1097" spans="1:9" ht="12.75" x14ac:dyDescent="0.2">
      <c r="A1097" s="3"/>
      <c r="B1097" s="3"/>
      <c r="C1097" s="1"/>
      <c r="D1097" s="1"/>
      <c r="E1097" s="2"/>
      <c r="F1097" s="2"/>
      <c r="G1097" s="2"/>
      <c r="H1097" s="1"/>
      <c r="I1097" s="2"/>
    </row>
    <row r="1098" spans="1:9" ht="12.75" x14ac:dyDescent="0.2">
      <c r="A1098" s="3"/>
      <c r="B1098" s="3"/>
      <c r="C1098" s="1"/>
      <c r="D1098" s="1"/>
      <c r="E1098" s="2"/>
      <c r="F1098" s="2"/>
      <c r="G1098" s="2"/>
      <c r="H1098" s="1"/>
      <c r="I1098" s="2"/>
    </row>
    <row r="1099" spans="1:9" ht="12.75" x14ac:dyDescent="0.2">
      <c r="A1099" s="3"/>
      <c r="B1099" s="3"/>
      <c r="C1099" s="1"/>
      <c r="D1099" s="1"/>
      <c r="E1099" s="2"/>
      <c r="F1099" s="2"/>
      <c r="G1099" s="2"/>
      <c r="H1099" s="1"/>
      <c r="I1099" s="2"/>
    </row>
    <row r="1100" spans="1:9" ht="12.75" x14ac:dyDescent="0.2">
      <c r="A1100" s="3"/>
      <c r="B1100" s="3"/>
      <c r="C1100" s="1"/>
      <c r="D1100" s="1"/>
      <c r="E1100" s="2"/>
      <c r="F1100" s="2"/>
      <c r="G1100" s="2"/>
      <c r="H1100" s="1"/>
      <c r="I1100" s="2"/>
    </row>
    <row r="1101" spans="1:9" ht="12.75" x14ac:dyDescent="0.2">
      <c r="A1101" s="3"/>
      <c r="B1101" s="3"/>
      <c r="C1101" s="1"/>
      <c r="D1101" s="1"/>
      <c r="E1101" s="2"/>
      <c r="F1101" s="2"/>
      <c r="G1101" s="2"/>
      <c r="H1101" s="1"/>
      <c r="I1101" s="2"/>
    </row>
    <row r="1102" spans="1:9" ht="12.75" x14ac:dyDescent="0.2">
      <c r="A1102" s="3"/>
      <c r="B1102" s="3"/>
      <c r="C1102" s="1"/>
      <c r="D1102" s="1"/>
      <c r="E1102" s="2"/>
      <c r="F1102" s="2"/>
      <c r="G1102" s="2"/>
      <c r="H1102" s="1"/>
      <c r="I1102" s="2"/>
    </row>
    <row r="1103" spans="1:9" ht="12.75" x14ac:dyDescent="0.2">
      <c r="A1103" s="3"/>
      <c r="B1103" s="3"/>
      <c r="C1103" s="1"/>
      <c r="D1103" s="1"/>
      <c r="E1103" s="2"/>
      <c r="F1103" s="2"/>
      <c r="G1103" s="2"/>
      <c r="H1103" s="1"/>
      <c r="I1103" s="2"/>
    </row>
    <row r="1104" spans="1:9" ht="12.75" x14ac:dyDescent="0.2">
      <c r="A1104" s="3"/>
      <c r="B1104" s="3"/>
      <c r="C1104" s="1"/>
      <c r="D1104" s="1"/>
      <c r="E1104" s="2"/>
      <c r="F1104" s="2"/>
      <c r="G1104" s="2"/>
      <c r="H1104" s="1"/>
      <c r="I1104" s="2"/>
    </row>
    <row r="1105" spans="1:9" ht="12.75" x14ac:dyDescent="0.2">
      <c r="A1105" s="3"/>
      <c r="B1105" s="3"/>
      <c r="C1105" s="1"/>
      <c r="D1105" s="1"/>
      <c r="E1105" s="2"/>
      <c r="F1105" s="2"/>
      <c r="G1105" s="2"/>
      <c r="H1105" s="1"/>
      <c r="I1105" s="2"/>
    </row>
    <row r="1106" spans="1:9" ht="12.75" x14ac:dyDescent="0.2">
      <c r="A1106" s="3"/>
      <c r="B1106" s="3"/>
      <c r="C1106" s="1"/>
      <c r="D1106" s="1"/>
      <c r="E1106" s="2"/>
      <c r="F1106" s="2"/>
      <c r="G1106" s="2"/>
      <c r="H1106" s="1"/>
      <c r="I1106" s="2"/>
    </row>
    <row r="1107" spans="1:9" ht="12.75" x14ac:dyDescent="0.2">
      <c r="A1107" s="3"/>
      <c r="B1107" s="3"/>
      <c r="C1107" s="1"/>
      <c r="D1107" s="1"/>
      <c r="E1107" s="2"/>
      <c r="F1107" s="2"/>
      <c r="G1107" s="2"/>
      <c r="H1107" s="1"/>
      <c r="I1107" s="2"/>
    </row>
    <row r="1108" spans="1:9" ht="12.75" x14ac:dyDescent="0.2">
      <c r="A1108" s="3"/>
      <c r="B1108" s="3"/>
      <c r="C1108" s="1"/>
      <c r="D1108" s="1"/>
      <c r="E1108" s="2"/>
      <c r="F1108" s="2"/>
      <c r="G1108" s="2"/>
      <c r="H1108" s="1"/>
      <c r="I1108" s="2"/>
    </row>
    <row r="1109" spans="1:9" ht="12.75" x14ac:dyDescent="0.2">
      <c r="A1109" s="3"/>
      <c r="B1109" s="3"/>
      <c r="C1109" s="1"/>
      <c r="D1109" s="1"/>
      <c r="E1109" s="2"/>
      <c r="F1109" s="2"/>
      <c r="G1109" s="2"/>
      <c r="H1109" s="1"/>
      <c r="I1109" s="2"/>
    </row>
    <row r="1110" spans="1:9" ht="12.75" x14ac:dyDescent="0.2">
      <c r="A1110" s="3"/>
      <c r="B1110" s="3"/>
      <c r="C1110" s="1"/>
      <c r="D1110" s="1"/>
      <c r="E1110" s="2"/>
      <c r="F1110" s="2"/>
      <c r="G1110" s="2"/>
      <c r="H1110" s="1"/>
      <c r="I1110" s="2"/>
    </row>
    <row r="1111" spans="1:9" ht="12.75" x14ac:dyDescent="0.2">
      <c r="A1111" s="3"/>
      <c r="B1111" s="3"/>
      <c r="C1111" s="1"/>
      <c r="D1111" s="1"/>
      <c r="E1111" s="2"/>
      <c r="F1111" s="2"/>
      <c r="G1111" s="2"/>
      <c r="H1111" s="1"/>
      <c r="I1111" s="2"/>
    </row>
    <row r="1112" spans="1:9" ht="12.75" x14ac:dyDescent="0.2">
      <c r="A1112" s="3"/>
      <c r="B1112" s="3"/>
      <c r="C1112" s="1"/>
      <c r="D1112" s="1"/>
      <c r="E1112" s="2"/>
      <c r="F1112" s="2"/>
      <c r="G1112" s="2"/>
      <c r="H1112" s="1"/>
      <c r="I1112" s="2"/>
    </row>
    <row r="1113" spans="1:9" ht="12.75" x14ac:dyDescent="0.2">
      <c r="A1113" s="3"/>
      <c r="B1113" s="3"/>
      <c r="C1113" s="1"/>
      <c r="D1113" s="1"/>
      <c r="E1113" s="2"/>
      <c r="F1113" s="2"/>
      <c r="G1113" s="2"/>
      <c r="H1113" s="1"/>
      <c r="I1113" s="2"/>
    </row>
    <row r="1114" spans="1:9" ht="12.75" x14ac:dyDescent="0.2">
      <c r="A1114" s="3"/>
      <c r="B1114" s="3"/>
      <c r="C1114" s="1"/>
      <c r="D1114" s="1"/>
      <c r="E1114" s="2"/>
      <c r="F1114" s="2"/>
      <c r="G1114" s="2"/>
      <c r="H1114" s="1"/>
      <c r="I1114" s="2"/>
    </row>
    <row r="1115" spans="1:9" ht="12.75" x14ac:dyDescent="0.2">
      <c r="A1115" s="3"/>
      <c r="B1115" s="3"/>
      <c r="C1115" s="1"/>
      <c r="D1115" s="1"/>
      <c r="E1115" s="2"/>
      <c r="F1115" s="2"/>
      <c r="G1115" s="2"/>
      <c r="H1115" s="1"/>
      <c r="I1115" s="2"/>
    </row>
    <row r="1116" spans="1:9" ht="12.75" x14ac:dyDescent="0.2">
      <c r="A1116" s="3"/>
      <c r="B1116" s="3"/>
      <c r="C1116" s="1"/>
      <c r="D1116" s="1"/>
      <c r="E1116" s="2"/>
      <c r="F1116" s="2"/>
      <c r="G1116" s="2"/>
      <c r="H1116" s="1"/>
      <c r="I1116" s="2"/>
    </row>
    <row r="1117" spans="1:9" ht="12.75" x14ac:dyDescent="0.2">
      <c r="A1117" s="3"/>
      <c r="B1117" s="3"/>
      <c r="C1117" s="1"/>
      <c r="D1117" s="1"/>
      <c r="E1117" s="2"/>
      <c r="F1117" s="2"/>
      <c r="G1117" s="2"/>
      <c r="H1117" s="1"/>
      <c r="I1117" s="2"/>
    </row>
    <row r="1118" spans="1:9" ht="12.75" x14ac:dyDescent="0.2">
      <c r="A1118" s="3"/>
      <c r="B1118" s="3"/>
      <c r="C1118" s="1"/>
      <c r="D1118" s="1"/>
      <c r="E1118" s="2"/>
      <c r="F1118" s="2"/>
      <c r="G1118" s="2"/>
      <c r="H1118" s="1"/>
      <c r="I1118" s="2"/>
    </row>
    <row r="1119" spans="1:9" ht="12.75" x14ac:dyDescent="0.2">
      <c r="A1119" s="3"/>
      <c r="B1119" s="3"/>
      <c r="C1119" s="1"/>
      <c r="D1119" s="1"/>
      <c r="E1119" s="2"/>
      <c r="F1119" s="2"/>
      <c r="G1119" s="2"/>
      <c r="H1119" s="1"/>
      <c r="I1119" s="2"/>
    </row>
    <row r="1120" spans="1:9" ht="12.75" x14ac:dyDescent="0.2">
      <c r="A1120" s="3"/>
      <c r="B1120" s="3"/>
      <c r="C1120" s="1"/>
      <c r="D1120" s="1"/>
      <c r="E1120" s="2"/>
      <c r="F1120" s="2"/>
      <c r="G1120" s="2"/>
      <c r="H1120" s="1"/>
      <c r="I1120" s="2"/>
    </row>
    <row r="1121" spans="1:9" ht="12.75" x14ac:dyDescent="0.2">
      <c r="A1121" s="3"/>
      <c r="B1121" s="3"/>
      <c r="C1121" s="1"/>
      <c r="D1121" s="1"/>
      <c r="E1121" s="2"/>
      <c r="F1121" s="2"/>
      <c r="G1121" s="2"/>
      <c r="H1121" s="1"/>
      <c r="I1121" s="2"/>
    </row>
    <row r="1122" spans="1:9" ht="12.75" x14ac:dyDescent="0.2">
      <c r="A1122" s="3"/>
      <c r="B1122" s="3"/>
      <c r="C1122" s="1"/>
      <c r="D1122" s="1"/>
      <c r="E1122" s="2"/>
      <c r="F1122" s="2"/>
      <c r="G1122" s="2"/>
      <c r="H1122" s="1"/>
      <c r="I1122" s="2"/>
    </row>
    <row r="1123" spans="1:9" ht="12.75" x14ac:dyDescent="0.2">
      <c r="A1123" s="3"/>
      <c r="B1123" s="3"/>
      <c r="C1123" s="1"/>
      <c r="D1123" s="1"/>
      <c r="E1123" s="2"/>
      <c r="F1123" s="2"/>
      <c r="G1123" s="2"/>
      <c r="H1123" s="1"/>
      <c r="I1123" s="2"/>
    </row>
    <row r="1124" spans="1:9" ht="12.75" x14ac:dyDescent="0.2">
      <c r="A1124" s="3"/>
      <c r="B1124" s="3"/>
      <c r="C1124" s="1"/>
      <c r="D1124" s="1"/>
      <c r="E1124" s="2"/>
      <c r="F1124" s="2"/>
      <c r="G1124" s="2"/>
      <c r="H1124" s="1"/>
      <c r="I1124" s="2"/>
    </row>
    <row r="1125" spans="1:9" ht="12.75" x14ac:dyDescent="0.2">
      <c r="A1125" s="3"/>
      <c r="B1125" s="3"/>
      <c r="C1125" s="1"/>
      <c r="D1125" s="1"/>
      <c r="E1125" s="2"/>
      <c r="F1125" s="2"/>
      <c r="G1125" s="2"/>
      <c r="H1125" s="1"/>
      <c r="I1125" s="2"/>
    </row>
    <row r="1126" spans="1:9" ht="12.75" x14ac:dyDescent="0.2">
      <c r="A1126" s="3"/>
      <c r="B1126" s="3"/>
      <c r="C1126" s="1"/>
      <c r="D1126" s="1"/>
      <c r="E1126" s="2"/>
      <c r="F1126" s="2"/>
      <c r="G1126" s="2"/>
      <c r="H1126" s="1"/>
      <c r="I1126" s="2"/>
    </row>
    <row r="1127" spans="1:9" ht="12.75" x14ac:dyDescent="0.2">
      <c r="A1127" s="3"/>
      <c r="B1127" s="3"/>
      <c r="C1127" s="1"/>
      <c r="D1127" s="1"/>
      <c r="E1127" s="2"/>
      <c r="F1127" s="2"/>
      <c r="G1127" s="2"/>
      <c r="H1127" s="1"/>
      <c r="I1127" s="2"/>
    </row>
    <row r="1128" spans="1:9" ht="12.75" x14ac:dyDescent="0.2">
      <c r="A1128" s="3"/>
      <c r="B1128" s="3"/>
      <c r="C1128" s="1"/>
      <c r="D1128" s="1"/>
      <c r="E1128" s="2"/>
      <c r="F1128" s="2"/>
      <c r="G1128" s="2"/>
      <c r="H1128" s="1"/>
      <c r="I1128" s="2"/>
    </row>
    <row r="1129" spans="1:9" ht="12.75" x14ac:dyDescent="0.2">
      <c r="A1129" s="3"/>
      <c r="B1129" s="3"/>
      <c r="C1129" s="1"/>
      <c r="D1129" s="1"/>
      <c r="E1129" s="2"/>
      <c r="F1129" s="2"/>
      <c r="G1129" s="2"/>
      <c r="H1129" s="1"/>
      <c r="I1129" s="2"/>
    </row>
    <row r="1130" spans="1:9" ht="12.75" x14ac:dyDescent="0.2">
      <c r="A1130" s="3"/>
      <c r="B1130" s="3"/>
      <c r="C1130" s="1"/>
      <c r="D1130" s="1"/>
      <c r="E1130" s="2"/>
      <c r="F1130" s="2"/>
      <c r="G1130" s="2"/>
      <c r="H1130" s="1"/>
      <c r="I1130" s="2"/>
    </row>
    <row r="1131" spans="1:9" ht="12.75" x14ac:dyDescent="0.2">
      <c r="A1131" s="3"/>
      <c r="B1131" s="3"/>
      <c r="C1131" s="1"/>
      <c r="D1131" s="1"/>
      <c r="E1131" s="2"/>
      <c r="F1131" s="2"/>
      <c r="G1131" s="2"/>
      <c r="H1131" s="1"/>
      <c r="I1131" s="2"/>
    </row>
    <row r="1132" spans="1:9" ht="12.75" x14ac:dyDescent="0.2">
      <c r="A1132" s="3"/>
      <c r="B1132" s="3"/>
      <c r="C1132" s="1"/>
      <c r="D1132" s="1"/>
      <c r="E1132" s="2"/>
      <c r="F1132" s="2"/>
      <c r="G1132" s="2"/>
      <c r="H1132" s="1"/>
      <c r="I1132" s="2"/>
    </row>
    <row r="1133" spans="1:9" ht="12.75" x14ac:dyDescent="0.2">
      <c r="A1133" s="3"/>
      <c r="B1133" s="3"/>
      <c r="C1133" s="1"/>
      <c r="D1133" s="1"/>
      <c r="E1133" s="2"/>
      <c r="F1133" s="2"/>
      <c r="G1133" s="2"/>
      <c r="H1133" s="1"/>
      <c r="I1133" s="2"/>
    </row>
    <row r="1134" spans="1:9" ht="12.75" x14ac:dyDescent="0.2">
      <c r="A1134" s="3"/>
      <c r="B1134" s="3"/>
      <c r="C1134" s="1"/>
      <c r="D1134" s="1"/>
      <c r="E1134" s="2"/>
      <c r="F1134" s="2"/>
      <c r="G1134" s="2"/>
      <c r="H1134" s="1"/>
      <c r="I1134" s="2"/>
    </row>
    <row r="1135" spans="1:9" ht="12.75" x14ac:dyDescent="0.2">
      <c r="A1135" s="3"/>
      <c r="B1135" s="3"/>
      <c r="C1135" s="1"/>
      <c r="D1135" s="1"/>
      <c r="E1135" s="2"/>
      <c r="F1135" s="2"/>
      <c r="G1135" s="2"/>
      <c r="H1135" s="1"/>
      <c r="I1135" s="2"/>
    </row>
    <row r="1136" spans="1:9" ht="12.75" x14ac:dyDescent="0.2">
      <c r="A1136" s="3"/>
      <c r="B1136" s="3"/>
      <c r="C1136" s="1"/>
      <c r="D1136" s="1"/>
      <c r="E1136" s="2"/>
      <c r="F1136" s="2"/>
      <c r="G1136" s="2"/>
      <c r="H1136" s="1"/>
      <c r="I1136" s="2"/>
    </row>
    <row r="1137" spans="1:9" ht="12.75" x14ac:dyDescent="0.2">
      <c r="A1137" s="3"/>
      <c r="B1137" s="3"/>
      <c r="C1137" s="1"/>
      <c r="D1137" s="1"/>
      <c r="E1137" s="2"/>
      <c r="F1137" s="2"/>
      <c r="G1137" s="2"/>
      <c r="H1137" s="1"/>
      <c r="I1137" s="2"/>
    </row>
    <row r="1138" spans="1:9" ht="12.75" x14ac:dyDescent="0.2">
      <c r="A1138" s="3"/>
      <c r="B1138" s="3"/>
      <c r="C1138" s="1"/>
      <c r="D1138" s="1"/>
      <c r="E1138" s="2"/>
      <c r="F1138" s="2"/>
      <c r="G1138" s="2"/>
      <c r="H1138" s="1"/>
      <c r="I1138" s="2"/>
    </row>
    <row r="1139" spans="1:9" ht="12.75" x14ac:dyDescent="0.2">
      <c r="A1139" s="3"/>
      <c r="B1139" s="3"/>
      <c r="C1139" s="1"/>
      <c r="D1139" s="1"/>
      <c r="E1139" s="2"/>
      <c r="F1139" s="2"/>
      <c r="G1139" s="2"/>
      <c r="H1139" s="1"/>
      <c r="I1139" s="2"/>
    </row>
    <row r="1140" spans="1:9" ht="12.75" x14ac:dyDescent="0.2">
      <c r="A1140" s="3"/>
      <c r="B1140" s="3"/>
      <c r="C1140" s="1"/>
      <c r="D1140" s="1"/>
      <c r="E1140" s="2"/>
      <c r="F1140" s="2"/>
      <c r="G1140" s="2"/>
      <c r="H1140" s="1"/>
      <c r="I1140" s="2"/>
    </row>
    <row r="1141" spans="1:9" ht="12.75" x14ac:dyDescent="0.2">
      <c r="A1141" s="3"/>
      <c r="B1141" s="3"/>
      <c r="C1141" s="1"/>
      <c r="D1141" s="1"/>
      <c r="E1141" s="2"/>
      <c r="F1141" s="2"/>
      <c r="G1141" s="2"/>
      <c r="H1141" s="1"/>
      <c r="I1141" s="2"/>
    </row>
    <row r="1142" spans="1:9" ht="12.75" x14ac:dyDescent="0.2">
      <c r="A1142" s="3"/>
      <c r="B1142" s="3"/>
      <c r="C1142" s="1"/>
      <c r="D1142" s="1"/>
      <c r="E1142" s="2"/>
      <c r="F1142" s="2"/>
      <c r="G1142" s="2"/>
      <c r="H1142" s="1"/>
      <c r="I1142" s="2"/>
    </row>
    <row r="1143" spans="1:9" ht="12.75" x14ac:dyDescent="0.2">
      <c r="A1143" s="3"/>
      <c r="B1143" s="3"/>
      <c r="C1143" s="1"/>
      <c r="D1143" s="1"/>
      <c r="E1143" s="2"/>
      <c r="F1143" s="2"/>
      <c r="G1143" s="2"/>
      <c r="H1143" s="1"/>
      <c r="I1143" s="2"/>
    </row>
    <row r="1144" spans="1:9" ht="12.75" x14ac:dyDescent="0.2">
      <c r="A1144" s="3"/>
      <c r="B1144" s="3"/>
      <c r="C1144" s="1"/>
      <c r="D1144" s="1"/>
      <c r="E1144" s="2"/>
      <c r="F1144" s="2"/>
      <c r="G1144" s="2"/>
      <c r="H1144" s="1"/>
      <c r="I1144" s="2"/>
    </row>
    <row r="1145" spans="1:9" ht="12.75" x14ac:dyDescent="0.2">
      <c r="A1145" s="3"/>
      <c r="B1145" s="3"/>
      <c r="C1145" s="1"/>
      <c r="D1145" s="1"/>
      <c r="E1145" s="2"/>
      <c r="F1145" s="2"/>
      <c r="G1145" s="2"/>
      <c r="H1145" s="1"/>
      <c r="I1145" s="2"/>
    </row>
    <row r="1146" spans="1:9" ht="12.75" x14ac:dyDescent="0.2">
      <c r="A1146" s="3"/>
      <c r="B1146" s="3"/>
      <c r="C1146" s="1"/>
      <c r="D1146" s="1"/>
      <c r="E1146" s="2"/>
      <c r="F1146" s="2"/>
      <c r="G1146" s="2"/>
      <c r="H1146" s="1"/>
      <c r="I1146" s="2"/>
    </row>
    <row r="1147" spans="1:9" ht="12.75" x14ac:dyDescent="0.2">
      <c r="A1147" s="3"/>
      <c r="B1147" s="3"/>
      <c r="C1147" s="1"/>
      <c r="D1147" s="1"/>
      <c r="E1147" s="2"/>
      <c r="F1147" s="2"/>
      <c r="G1147" s="2"/>
      <c r="H1147" s="1"/>
      <c r="I1147" s="2"/>
    </row>
    <row r="1148" spans="1:9" ht="12.75" x14ac:dyDescent="0.2">
      <c r="A1148" s="3"/>
      <c r="B1148" s="3"/>
      <c r="C1148" s="1"/>
      <c r="D1148" s="1"/>
      <c r="E1148" s="2"/>
      <c r="F1148" s="2"/>
      <c r="G1148" s="2"/>
      <c r="H1148" s="1"/>
      <c r="I1148" s="2"/>
    </row>
    <row r="1149" spans="1:9" ht="12.75" x14ac:dyDescent="0.2">
      <c r="A1149" s="3"/>
      <c r="B1149" s="3"/>
      <c r="C1149" s="1"/>
      <c r="D1149" s="1"/>
      <c r="E1149" s="2"/>
      <c r="F1149" s="2"/>
      <c r="G1149" s="2"/>
      <c r="H1149" s="1"/>
      <c r="I1149" s="2"/>
    </row>
    <row r="1150" spans="1:9" ht="12.75" x14ac:dyDescent="0.2">
      <c r="A1150" s="3"/>
      <c r="B1150" s="3"/>
      <c r="C1150" s="1"/>
      <c r="D1150" s="1"/>
      <c r="E1150" s="2"/>
      <c r="F1150" s="2"/>
      <c r="G1150" s="2"/>
      <c r="H1150" s="1"/>
      <c r="I1150" s="2"/>
    </row>
    <row r="1151" spans="1:9" ht="12.75" x14ac:dyDescent="0.2">
      <c r="A1151" s="3"/>
      <c r="B1151" s="3"/>
      <c r="C1151" s="1"/>
      <c r="D1151" s="1"/>
      <c r="E1151" s="2"/>
      <c r="F1151" s="2"/>
      <c r="G1151" s="2"/>
      <c r="H1151" s="1"/>
      <c r="I1151" s="2"/>
    </row>
    <row r="1152" spans="1:9" ht="12.75" x14ac:dyDescent="0.2">
      <c r="A1152" s="3"/>
      <c r="B1152" s="3"/>
      <c r="C1152" s="1"/>
      <c r="D1152" s="1"/>
      <c r="E1152" s="2"/>
      <c r="F1152" s="2"/>
      <c r="G1152" s="2"/>
      <c r="H1152" s="1"/>
      <c r="I1152" s="2"/>
    </row>
    <row r="1153" spans="1:9" ht="12.75" x14ac:dyDescent="0.2">
      <c r="A1153" s="3"/>
      <c r="B1153" s="3"/>
      <c r="C1153" s="1"/>
      <c r="D1153" s="1"/>
      <c r="E1153" s="2"/>
      <c r="F1153" s="2"/>
      <c r="G1153" s="2"/>
      <c r="H1153" s="1"/>
      <c r="I1153" s="2"/>
    </row>
    <row r="1154" spans="1:9" ht="12.75" x14ac:dyDescent="0.2">
      <c r="A1154" s="3"/>
      <c r="B1154" s="3"/>
      <c r="C1154" s="1"/>
      <c r="D1154" s="1"/>
      <c r="E1154" s="2"/>
      <c r="F1154" s="2"/>
      <c r="G1154" s="2"/>
      <c r="H1154" s="1"/>
      <c r="I1154" s="2"/>
    </row>
    <row r="1155" spans="1:9" ht="12.75" x14ac:dyDescent="0.2">
      <c r="A1155" s="3"/>
      <c r="B1155" s="3"/>
      <c r="C1155" s="1"/>
      <c r="D1155" s="1"/>
      <c r="E1155" s="2"/>
      <c r="F1155" s="2"/>
      <c r="G1155" s="2"/>
      <c r="H1155" s="1"/>
      <c r="I1155" s="2"/>
    </row>
    <row r="1156" spans="1:9" ht="12.75" x14ac:dyDescent="0.2">
      <c r="A1156" s="3"/>
      <c r="B1156" s="3"/>
      <c r="C1156" s="1"/>
      <c r="D1156" s="1"/>
      <c r="E1156" s="2"/>
      <c r="F1156" s="2"/>
      <c r="G1156" s="2"/>
      <c r="H1156" s="1"/>
      <c r="I1156" s="2"/>
    </row>
    <row r="1157" spans="1:9" ht="12.75" x14ac:dyDescent="0.2">
      <c r="A1157" s="3"/>
      <c r="B1157" s="3"/>
      <c r="C1157" s="1"/>
      <c r="D1157" s="1"/>
      <c r="E1157" s="2"/>
      <c r="F1157" s="2"/>
      <c r="G1157" s="2"/>
      <c r="H1157" s="1"/>
      <c r="I1157" s="2"/>
    </row>
    <row r="1158" spans="1:9" ht="12.75" x14ac:dyDescent="0.2">
      <c r="A1158" s="3"/>
      <c r="B1158" s="3"/>
      <c r="C1158" s="1"/>
      <c r="D1158" s="1"/>
      <c r="E1158" s="2"/>
      <c r="F1158" s="2"/>
      <c r="G1158" s="2"/>
      <c r="H1158" s="1"/>
      <c r="I1158" s="2"/>
    </row>
    <row r="1159" spans="1:9" ht="12.75" x14ac:dyDescent="0.2">
      <c r="A1159" s="3"/>
      <c r="B1159" s="3"/>
      <c r="C1159" s="1"/>
      <c r="D1159" s="1"/>
      <c r="E1159" s="2"/>
      <c r="F1159" s="2"/>
      <c r="G1159" s="2"/>
      <c r="H1159" s="1"/>
      <c r="I1159" s="2"/>
    </row>
    <row r="1160" spans="1:9" ht="12.75" x14ac:dyDescent="0.2">
      <c r="A1160" s="3"/>
      <c r="B1160" s="3"/>
      <c r="C1160" s="1"/>
      <c r="D1160" s="1"/>
      <c r="E1160" s="2"/>
      <c r="F1160" s="2"/>
      <c r="G1160" s="2"/>
      <c r="H1160" s="1"/>
      <c r="I1160" s="2"/>
    </row>
    <row r="1161" spans="1:9" ht="12.75" x14ac:dyDescent="0.2">
      <c r="A1161" s="3"/>
      <c r="B1161" s="3"/>
      <c r="C1161" s="1"/>
      <c r="D1161" s="1"/>
      <c r="E1161" s="2"/>
      <c r="F1161" s="2"/>
      <c r="G1161" s="2"/>
      <c r="H1161" s="1"/>
      <c r="I1161" s="2"/>
    </row>
    <row r="1162" spans="1:9" ht="12.75" x14ac:dyDescent="0.2">
      <c r="A1162" s="3"/>
      <c r="B1162" s="3"/>
      <c r="C1162" s="1"/>
      <c r="D1162" s="1"/>
      <c r="E1162" s="2"/>
      <c r="F1162" s="2"/>
      <c r="G1162" s="2"/>
      <c r="H1162" s="1"/>
      <c r="I1162" s="2"/>
    </row>
    <row r="1163" spans="1:9" ht="12.75" x14ac:dyDescent="0.2">
      <c r="A1163" s="3"/>
      <c r="B1163" s="3"/>
      <c r="C1163" s="1"/>
      <c r="D1163" s="1"/>
      <c r="E1163" s="2"/>
      <c r="F1163" s="2"/>
      <c r="G1163" s="2"/>
      <c r="H1163" s="1"/>
      <c r="I1163" s="2"/>
    </row>
    <row r="1164" spans="1:9" ht="12.75" x14ac:dyDescent="0.2">
      <c r="A1164" s="3"/>
      <c r="B1164" s="3"/>
      <c r="C1164" s="1"/>
      <c r="D1164" s="1"/>
      <c r="E1164" s="2"/>
      <c r="F1164" s="2"/>
      <c r="G1164" s="2"/>
      <c r="H1164" s="1"/>
      <c r="I1164" s="2"/>
    </row>
    <row r="1165" spans="1:9" ht="12.75" x14ac:dyDescent="0.2">
      <c r="A1165" s="3"/>
      <c r="B1165" s="3"/>
      <c r="C1165" s="1"/>
      <c r="D1165" s="1"/>
      <c r="E1165" s="2"/>
      <c r="F1165" s="2"/>
      <c r="G1165" s="2"/>
      <c r="H1165" s="1"/>
      <c r="I1165" s="2"/>
    </row>
    <row r="1166" spans="1:9" ht="12.75" x14ac:dyDescent="0.2">
      <c r="A1166" s="3"/>
      <c r="B1166" s="3"/>
      <c r="C1166" s="1"/>
      <c r="D1166" s="1"/>
      <c r="E1166" s="2"/>
      <c r="F1166" s="2"/>
      <c r="G1166" s="2"/>
      <c r="H1166" s="1"/>
      <c r="I1166" s="2"/>
    </row>
    <row r="1167" spans="1:9" ht="12.75" x14ac:dyDescent="0.2">
      <c r="A1167" s="3"/>
      <c r="B1167" s="3"/>
      <c r="C1167" s="1"/>
      <c r="D1167" s="1"/>
      <c r="E1167" s="2"/>
      <c r="F1167" s="2"/>
      <c r="G1167" s="2"/>
      <c r="H1167" s="1"/>
      <c r="I1167" s="2"/>
    </row>
    <row r="1168" spans="1:9" ht="12.75" x14ac:dyDescent="0.2">
      <c r="A1168" s="3"/>
      <c r="B1168" s="3"/>
      <c r="C1168" s="1"/>
      <c r="D1168" s="1"/>
      <c r="E1168" s="2"/>
      <c r="F1168" s="2"/>
      <c r="G1168" s="2"/>
      <c r="H1168" s="1"/>
      <c r="I1168" s="2"/>
    </row>
    <row r="1169" spans="1:9" ht="12.75" x14ac:dyDescent="0.2">
      <c r="A1169" s="3"/>
      <c r="B1169" s="3"/>
      <c r="C1169" s="1"/>
      <c r="D1169" s="1"/>
      <c r="E1169" s="2"/>
      <c r="F1169" s="2"/>
      <c r="G1169" s="2"/>
      <c r="H1169" s="1"/>
      <c r="I1169" s="2"/>
    </row>
    <row r="1170" spans="1:9" ht="12.75" x14ac:dyDescent="0.2">
      <c r="A1170" s="3"/>
      <c r="B1170" s="3"/>
      <c r="C1170" s="1"/>
      <c r="D1170" s="1"/>
      <c r="E1170" s="2"/>
      <c r="F1170" s="2"/>
      <c r="G1170" s="2"/>
      <c r="H1170" s="1"/>
      <c r="I1170" s="2"/>
    </row>
    <row r="1171" spans="1:9" ht="12.75" x14ac:dyDescent="0.2">
      <c r="A1171" s="3"/>
      <c r="B1171" s="3"/>
      <c r="C1171" s="1"/>
      <c r="D1171" s="1"/>
      <c r="E1171" s="2"/>
      <c r="F1171" s="2"/>
      <c r="G1171" s="2"/>
      <c r="H1171" s="1"/>
      <c r="I1171" s="2"/>
    </row>
    <row r="1172" spans="1:9" ht="12.75" x14ac:dyDescent="0.2">
      <c r="A1172" s="3"/>
      <c r="B1172" s="3"/>
      <c r="C1172" s="1"/>
      <c r="D1172" s="1"/>
      <c r="E1172" s="2"/>
      <c r="F1172" s="2"/>
      <c r="G1172" s="2"/>
      <c r="H1172" s="1"/>
      <c r="I1172" s="2"/>
    </row>
    <row r="1173" spans="1:9" ht="12.75" x14ac:dyDescent="0.2">
      <c r="A1173" s="3"/>
      <c r="B1173" s="3"/>
      <c r="C1173" s="1"/>
      <c r="D1173" s="1"/>
      <c r="E1173" s="2"/>
      <c r="F1173" s="2"/>
      <c r="G1173" s="2"/>
      <c r="H1173" s="1"/>
      <c r="I1173" s="2"/>
    </row>
    <row r="1174" spans="1:9" ht="12.75" x14ac:dyDescent="0.2">
      <c r="A1174" s="3"/>
      <c r="B1174" s="3"/>
      <c r="C1174" s="1"/>
      <c r="D1174" s="1"/>
      <c r="E1174" s="2"/>
      <c r="F1174" s="2"/>
      <c r="G1174" s="2"/>
      <c r="H1174" s="1"/>
      <c r="I1174" s="2"/>
    </row>
    <row r="1175" spans="1:9" ht="12.75" x14ac:dyDescent="0.2">
      <c r="A1175" s="3"/>
      <c r="B1175" s="3"/>
      <c r="C1175" s="1"/>
      <c r="D1175" s="1"/>
      <c r="E1175" s="2"/>
      <c r="F1175" s="2"/>
      <c r="G1175" s="2"/>
      <c r="H1175" s="1"/>
      <c r="I1175" s="2"/>
    </row>
    <row r="1176" spans="1:9" ht="12.75" x14ac:dyDescent="0.2">
      <c r="A1176" s="3"/>
      <c r="B1176" s="3"/>
      <c r="C1176" s="1"/>
      <c r="D1176" s="1"/>
      <c r="E1176" s="2"/>
      <c r="F1176" s="2"/>
      <c r="G1176" s="2"/>
      <c r="H1176" s="1"/>
      <c r="I1176" s="2"/>
    </row>
    <row r="1177" spans="1:9" ht="12.75" x14ac:dyDescent="0.2">
      <c r="A1177" s="3"/>
      <c r="B1177" s="3"/>
      <c r="C1177" s="1"/>
      <c r="D1177" s="1"/>
      <c r="E1177" s="2"/>
      <c r="F1177" s="2"/>
      <c r="G1177" s="2"/>
      <c r="H1177" s="1"/>
      <c r="I1177" s="2"/>
    </row>
    <row r="1178" spans="1:9" ht="12.75" x14ac:dyDescent="0.2">
      <c r="A1178" s="3"/>
      <c r="B1178" s="3"/>
      <c r="C1178" s="1"/>
      <c r="D1178" s="1"/>
      <c r="E1178" s="2"/>
      <c r="F1178" s="2"/>
      <c r="G1178" s="2"/>
      <c r="H1178" s="1"/>
      <c r="I1178" s="2"/>
    </row>
    <row r="1179" spans="1:9" ht="12.75" x14ac:dyDescent="0.2">
      <c r="A1179" s="3"/>
      <c r="B1179" s="3"/>
      <c r="C1179" s="1"/>
      <c r="D1179" s="1"/>
      <c r="E1179" s="2"/>
      <c r="F1179" s="2"/>
      <c r="G1179" s="2"/>
      <c r="H1179" s="1"/>
      <c r="I1179" s="2"/>
    </row>
    <row r="1180" spans="1:9" ht="12.75" x14ac:dyDescent="0.2">
      <c r="A1180" s="3"/>
      <c r="B1180" s="3"/>
      <c r="C1180" s="1"/>
      <c r="D1180" s="1"/>
      <c r="E1180" s="2"/>
      <c r="F1180" s="2"/>
      <c r="G1180" s="2"/>
      <c r="H1180" s="1"/>
      <c r="I1180" s="2"/>
    </row>
    <row r="1181" spans="1:9" ht="12.75" x14ac:dyDescent="0.2">
      <c r="A1181" s="3"/>
      <c r="B1181" s="3"/>
      <c r="C1181" s="1"/>
      <c r="D1181" s="1"/>
      <c r="E1181" s="2"/>
      <c r="F1181" s="2"/>
      <c r="G1181" s="2"/>
      <c r="H1181" s="1"/>
      <c r="I1181" s="2"/>
    </row>
    <row r="1182" spans="1:9" ht="12.75" x14ac:dyDescent="0.2">
      <c r="A1182" s="3"/>
      <c r="B1182" s="3"/>
      <c r="C1182" s="1"/>
      <c r="D1182" s="1"/>
      <c r="E1182" s="2"/>
      <c r="F1182" s="2"/>
      <c r="G1182" s="2"/>
      <c r="H1182" s="1"/>
      <c r="I1182" s="2"/>
    </row>
    <row r="1183" spans="1:9" ht="12.75" x14ac:dyDescent="0.2">
      <c r="A1183" s="3"/>
      <c r="B1183" s="3"/>
      <c r="C1183" s="1"/>
      <c r="D1183" s="1"/>
      <c r="E1183" s="2"/>
      <c r="F1183" s="2"/>
      <c r="G1183" s="2"/>
      <c r="H1183" s="1"/>
      <c r="I1183" s="2"/>
    </row>
    <row r="1184" spans="1:9" ht="12.75" x14ac:dyDescent="0.2">
      <c r="A1184" s="3"/>
      <c r="B1184" s="3"/>
      <c r="C1184" s="1"/>
      <c r="D1184" s="1"/>
      <c r="E1184" s="2"/>
      <c r="F1184" s="2"/>
      <c r="G1184" s="2"/>
      <c r="H1184" s="1"/>
      <c r="I1184" s="2"/>
    </row>
    <row r="1185" spans="1:9" ht="12.75" x14ac:dyDescent="0.2">
      <c r="A1185" s="3"/>
      <c r="B1185" s="3"/>
      <c r="C1185" s="1"/>
      <c r="D1185" s="1"/>
      <c r="E1185" s="2"/>
      <c r="F1185" s="2"/>
      <c r="G1185" s="2"/>
      <c r="H1185" s="1"/>
      <c r="I1185" s="2"/>
    </row>
    <row r="1186" spans="1:9" ht="12.75" x14ac:dyDescent="0.2">
      <c r="A1186" s="3"/>
      <c r="B1186" s="3"/>
      <c r="C1186" s="1"/>
      <c r="D1186" s="1"/>
      <c r="E1186" s="2"/>
      <c r="F1186" s="2"/>
      <c r="G1186" s="2"/>
      <c r="H1186" s="1"/>
      <c r="I1186" s="2"/>
    </row>
    <row r="1187" spans="1:9" ht="12.75" x14ac:dyDescent="0.2">
      <c r="A1187" s="3"/>
      <c r="B1187" s="3"/>
      <c r="C1187" s="1"/>
      <c r="D1187" s="1"/>
      <c r="E1187" s="2"/>
      <c r="F1187" s="2"/>
      <c r="G1187" s="2"/>
      <c r="H1187" s="1"/>
      <c r="I1187" s="2"/>
    </row>
    <row r="1188" spans="1:9" ht="12.75" x14ac:dyDescent="0.2">
      <c r="A1188" s="3"/>
      <c r="B1188" s="3"/>
      <c r="C1188" s="1"/>
      <c r="D1188" s="1"/>
      <c r="E1188" s="2"/>
      <c r="F1188" s="2"/>
      <c r="G1188" s="2"/>
      <c r="H1188" s="1"/>
      <c r="I1188" s="2"/>
    </row>
    <row r="1189" spans="1:9" ht="12.75" x14ac:dyDescent="0.2">
      <c r="A1189" s="3"/>
      <c r="B1189" s="3"/>
      <c r="C1189" s="1"/>
      <c r="D1189" s="1"/>
      <c r="E1189" s="2"/>
      <c r="F1189" s="2"/>
      <c r="G1189" s="2"/>
      <c r="H1189" s="1"/>
      <c r="I1189" s="2"/>
    </row>
    <row r="1190" spans="1:9" ht="12.75" x14ac:dyDescent="0.2">
      <c r="A1190" s="3"/>
      <c r="B1190" s="3"/>
      <c r="C1190" s="1"/>
      <c r="D1190" s="1"/>
      <c r="E1190" s="2"/>
      <c r="F1190" s="2"/>
      <c r="G1190" s="2"/>
      <c r="H1190" s="1"/>
      <c r="I1190" s="2"/>
    </row>
    <row r="1191" spans="1:9" ht="12.75" x14ac:dyDescent="0.2">
      <c r="A1191" s="3"/>
      <c r="B1191" s="3"/>
      <c r="C1191" s="1"/>
      <c r="D1191" s="1"/>
      <c r="E1191" s="2"/>
      <c r="F1191" s="2"/>
      <c r="G1191" s="2"/>
      <c r="H1191" s="1"/>
      <c r="I1191" s="2"/>
    </row>
    <row r="1192" spans="1:9" ht="12.75" x14ac:dyDescent="0.2">
      <c r="A1192" s="3"/>
      <c r="B1192" s="3"/>
      <c r="C1192" s="1"/>
      <c r="D1192" s="1"/>
      <c r="E1192" s="2"/>
      <c r="F1192" s="2"/>
      <c r="G1192" s="2"/>
      <c r="H1192" s="1"/>
      <c r="I1192" s="2"/>
    </row>
    <row r="1193" spans="1:9" ht="12.75" x14ac:dyDescent="0.2">
      <c r="A1193" s="3"/>
      <c r="B1193" s="3"/>
      <c r="C1193" s="1"/>
      <c r="D1193" s="1"/>
      <c r="E1193" s="2"/>
      <c r="F1193" s="2"/>
      <c r="G1193" s="2"/>
      <c r="H1193" s="1"/>
      <c r="I1193" s="2"/>
    </row>
    <row r="1194" spans="1:9" ht="12.75" x14ac:dyDescent="0.2">
      <c r="A1194" s="3"/>
      <c r="B1194" s="3"/>
      <c r="C1194" s="1"/>
      <c r="D1194" s="1"/>
      <c r="E1194" s="2"/>
      <c r="F1194" s="2"/>
      <c r="G1194" s="2"/>
      <c r="H1194" s="1"/>
      <c r="I1194" s="2"/>
    </row>
    <row r="1195" spans="1:9" ht="12.75" x14ac:dyDescent="0.2">
      <c r="A1195" s="3"/>
      <c r="B1195" s="3"/>
      <c r="C1195" s="1"/>
      <c r="D1195" s="1"/>
      <c r="E1195" s="2"/>
      <c r="F1195" s="2"/>
      <c r="G1195" s="2"/>
      <c r="H1195" s="1"/>
      <c r="I1195" s="2"/>
    </row>
    <row r="1196" spans="1:9" ht="12.75" x14ac:dyDescent="0.2">
      <c r="A1196" s="3"/>
      <c r="B1196" s="3"/>
      <c r="C1196" s="1"/>
      <c r="D1196" s="1"/>
      <c r="E1196" s="2"/>
      <c r="F1196" s="2"/>
      <c r="G1196" s="2"/>
      <c r="H1196" s="1"/>
      <c r="I1196" s="2"/>
    </row>
    <row r="1197" spans="1:9" ht="12.75" x14ac:dyDescent="0.2">
      <c r="A1197" s="3"/>
      <c r="B1197" s="3"/>
      <c r="C1197" s="1"/>
      <c r="D1197" s="1"/>
      <c r="E1197" s="2"/>
      <c r="F1197" s="2"/>
      <c r="G1197" s="2"/>
      <c r="H1197" s="1"/>
      <c r="I1197" s="2"/>
    </row>
    <row r="1198" spans="1:9" ht="12.75" x14ac:dyDescent="0.2">
      <c r="A1198" s="3"/>
      <c r="B1198" s="3"/>
      <c r="C1198" s="1"/>
      <c r="D1198" s="1"/>
      <c r="E1198" s="2"/>
      <c r="F1198" s="2"/>
      <c r="G1198" s="2"/>
      <c r="H1198" s="1"/>
      <c r="I1198" s="2"/>
    </row>
    <row r="1199" spans="1:9" ht="12.75" x14ac:dyDescent="0.2">
      <c r="A1199" s="3"/>
      <c r="B1199" s="3"/>
      <c r="C1199" s="1"/>
      <c r="D1199" s="1"/>
      <c r="E1199" s="2"/>
      <c r="F1199" s="2"/>
      <c r="G1199" s="2"/>
      <c r="H1199" s="1"/>
      <c r="I1199" s="2"/>
    </row>
    <row r="1200" spans="1:9" ht="12.75" x14ac:dyDescent="0.2">
      <c r="A1200" s="3"/>
      <c r="B1200" s="3"/>
      <c r="C1200" s="1"/>
      <c r="D1200" s="1"/>
      <c r="E1200" s="2"/>
      <c r="F1200" s="2"/>
      <c r="G1200" s="2"/>
      <c r="H1200" s="1"/>
      <c r="I1200" s="2"/>
    </row>
    <row r="1201" spans="1:9" ht="12.75" x14ac:dyDescent="0.2">
      <c r="A1201" s="3"/>
      <c r="B1201" s="3"/>
      <c r="C1201" s="1"/>
      <c r="D1201" s="1"/>
      <c r="E1201" s="2"/>
      <c r="F1201" s="2"/>
      <c r="G1201" s="2"/>
      <c r="H1201" s="1"/>
      <c r="I1201" s="2"/>
    </row>
    <row r="1202" spans="1:9" ht="12.75" x14ac:dyDescent="0.2">
      <c r="A1202" s="3"/>
      <c r="B1202" s="3"/>
      <c r="C1202" s="1"/>
      <c r="D1202" s="1"/>
      <c r="E1202" s="2"/>
      <c r="F1202" s="2"/>
      <c r="G1202" s="2"/>
      <c r="H1202" s="1"/>
      <c r="I1202" s="2"/>
    </row>
    <row r="1203" spans="1:9" ht="12.75" x14ac:dyDescent="0.2">
      <c r="A1203" s="3"/>
      <c r="B1203" s="3"/>
      <c r="C1203" s="1"/>
      <c r="D1203" s="1"/>
      <c r="E1203" s="2"/>
      <c r="F1203" s="2"/>
      <c r="G1203" s="2"/>
      <c r="H1203" s="1"/>
      <c r="I1203" s="2"/>
    </row>
    <row r="1204" spans="1:9" ht="12.75" x14ac:dyDescent="0.2">
      <c r="A1204" s="3"/>
      <c r="B1204" s="3"/>
      <c r="C1204" s="1"/>
      <c r="D1204" s="1"/>
      <c r="E1204" s="2"/>
      <c r="F1204" s="2"/>
      <c r="G1204" s="2"/>
      <c r="H1204" s="1"/>
      <c r="I1204" s="2"/>
    </row>
    <row r="1205" spans="1:9" ht="12.75" x14ac:dyDescent="0.2">
      <c r="A1205" s="3"/>
      <c r="B1205" s="3"/>
      <c r="C1205" s="1"/>
      <c r="D1205" s="1"/>
      <c r="E1205" s="2"/>
      <c r="F1205" s="2"/>
      <c r="G1205" s="2"/>
      <c r="H1205" s="1"/>
      <c r="I1205" s="2"/>
    </row>
    <row r="1206" spans="1:9" ht="12.75" x14ac:dyDescent="0.2">
      <c r="A1206" s="3"/>
      <c r="B1206" s="3"/>
      <c r="C1206" s="1"/>
      <c r="D1206" s="1"/>
      <c r="E1206" s="2"/>
      <c r="F1206" s="2"/>
      <c r="G1206" s="2"/>
      <c r="H1206" s="1"/>
      <c r="I1206" s="2"/>
    </row>
    <row r="1207" spans="1:9" ht="12.75" x14ac:dyDescent="0.2">
      <c r="A1207" s="3"/>
      <c r="B1207" s="3"/>
      <c r="C1207" s="1"/>
      <c r="D1207" s="1"/>
      <c r="E1207" s="2"/>
      <c r="F1207" s="2"/>
      <c r="G1207" s="2"/>
      <c r="H1207" s="1"/>
      <c r="I1207" s="2"/>
    </row>
    <row r="1208" spans="1:9" ht="12.75" x14ac:dyDescent="0.2">
      <c r="A1208" s="3"/>
      <c r="B1208" s="3"/>
      <c r="C1208" s="1"/>
      <c r="D1208" s="1"/>
      <c r="E1208" s="2"/>
      <c r="F1208" s="2"/>
      <c r="G1208" s="2"/>
      <c r="H1208" s="1"/>
      <c r="I1208" s="2"/>
    </row>
    <row r="1209" spans="1:9" ht="12.75" x14ac:dyDescent="0.2">
      <c r="A1209" s="3"/>
      <c r="B1209" s="3"/>
      <c r="C1209" s="1"/>
      <c r="D1209" s="1"/>
      <c r="E1209" s="2"/>
      <c r="F1209" s="2"/>
      <c r="G1209" s="2"/>
      <c r="H1209" s="1"/>
      <c r="I1209" s="2"/>
    </row>
    <row r="1210" spans="1:9" ht="12.75" x14ac:dyDescent="0.2">
      <c r="A1210" s="3"/>
      <c r="B1210" s="3"/>
      <c r="C1210" s="1"/>
      <c r="D1210" s="1"/>
      <c r="E1210" s="2"/>
      <c r="F1210" s="2"/>
      <c r="G1210" s="2"/>
      <c r="H1210" s="1"/>
      <c r="I1210" s="2"/>
    </row>
    <row r="1211" spans="1:9" ht="12.75" x14ac:dyDescent="0.2">
      <c r="A1211" s="3"/>
      <c r="B1211" s="3"/>
      <c r="C1211" s="1"/>
      <c r="D1211" s="1"/>
      <c r="E1211" s="2"/>
      <c r="F1211" s="2"/>
      <c r="G1211" s="2"/>
      <c r="H1211" s="1"/>
      <c r="I1211" s="2"/>
    </row>
    <row r="1212" spans="1:9" ht="12.75" x14ac:dyDescent="0.2">
      <c r="A1212" s="3"/>
      <c r="B1212" s="3"/>
      <c r="C1212" s="1"/>
      <c r="D1212" s="1"/>
      <c r="E1212" s="2"/>
      <c r="F1212" s="2"/>
      <c r="G1212" s="2"/>
      <c r="H1212" s="1"/>
      <c r="I1212" s="2"/>
    </row>
    <row r="1213" spans="1:9" ht="12.75" x14ac:dyDescent="0.2">
      <c r="A1213" s="3"/>
      <c r="B1213" s="3"/>
      <c r="C1213" s="1"/>
      <c r="D1213" s="1"/>
      <c r="E1213" s="2"/>
      <c r="F1213" s="2"/>
      <c r="G1213" s="2"/>
      <c r="H1213" s="1"/>
      <c r="I1213" s="2"/>
    </row>
    <row r="1214" spans="1:9" ht="12.75" x14ac:dyDescent="0.2">
      <c r="A1214" s="3"/>
      <c r="B1214" s="3"/>
      <c r="C1214" s="1"/>
      <c r="D1214" s="1"/>
      <c r="E1214" s="2"/>
      <c r="F1214" s="2"/>
      <c r="G1214" s="2"/>
      <c r="H1214" s="1"/>
      <c r="I1214" s="2"/>
    </row>
    <row r="1215" spans="1:9" ht="12.75" x14ac:dyDescent="0.2">
      <c r="A1215" s="3"/>
      <c r="B1215" s="3"/>
      <c r="C1215" s="1"/>
      <c r="D1215" s="1"/>
      <c r="E1215" s="2"/>
      <c r="F1215" s="2"/>
      <c r="G1215" s="2"/>
      <c r="H1215" s="1"/>
      <c r="I1215" s="2"/>
    </row>
    <row r="1216" spans="1:9" ht="12.75" x14ac:dyDescent="0.2">
      <c r="A1216" s="3"/>
      <c r="B1216" s="3"/>
      <c r="C1216" s="1"/>
      <c r="D1216" s="1"/>
      <c r="E1216" s="2"/>
      <c r="F1216" s="2"/>
      <c r="G1216" s="2"/>
      <c r="H1216" s="1"/>
      <c r="I1216" s="2"/>
    </row>
    <row r="1217" spans="1:9" ht="12.75" x14ac:dyDescent="0.2">
      <c r="A1217" s="3"/>
      <c r="B1217" s="3"/>
      <c r="C1217" s="1"/>
      <c r="D1217" s="1"/>
      <c r="E1217" s="2"/>
      <c r="F1217" s="2"/>
      <c r="G1217" s="2"/>
      <c r="H1217" s="1"/>
      <c r="I1217" s="2"/>
    </row>
    <row r="1218" spans="1:9" ht="12.75" x14ac:dyDescent="0.2">
      <c r="A1218" s="3"/>
      <c r="B1218" s="3"/>
      <c r="C1218" s="1"/>
      <c r="D1218" s="1"/>
      <c r="E1218" s="2"/>
      <c r="F1218" s="2"/>
      <c r="G1218" s="2"/>
      <c r="H1218" s="1"/>
      <c r="I1218" s="2"/>
    </row>
    <row r="1219" spans="1:9" ht="12.75" x14ac:dyDescent="0.2">
      <c r="A1219" s="3"/>
      <c r="B1219" s="3"/>
      <c r="C1219" s="1"/>
      <c r="D1219" s="1"/>
      <c r="E1219" s="2"/>
      <c r="F1219" s="2"/>
      <c r="G1219" s="2"/>
      <c r="H1219" s="1"/>
      <c r="I1219" s="2"/>
    </row>
    <row r="1220" spans="1:9" ht="12.75" x14ac:dyDescent="0.2">
      <c r="A1220" s="3"/>
      <c r="B1220" s="3"/>
      <c r="C1220" s="1"/>
      <c r="D1220" s="1"/>
      <c r="E1220" s="2"/>
      <c r="F1220" s="2"/>
      <c r="G1220" s="2"/>
      <c r="H1220" s="1"/>
      <c r="I1220" s="2"/>
    </row>
    <row r="1221" spans="1:9" ht="12.75" x14ac:dyDescent="0.2">
      <c r="A1221" s="3"/>
      <c r="B1221" s="3"/>
      <c r="C1221" s="1"/>
      <c r="D1221" s="1"/>
      <c r="E1221" s="2"/>
      <c r="F1221" s="2"/>
      <c r="G1221" s="2"/>
      <c r="H1221" s="1"/>
      <c r="I1221" s="2"/>
    </row>
    <row r="1222" spans="1:9" ht="12.75" x14ac:dyDescent="0.2">
      <c r="A1222" s="3"/>
      <c r="B1222" s="3"/>
      <c r="C1222" s="1"/>
      <c r="D1222" s="1"/>
      <c r="E1222" s="2"/>
      <c r="F1222" s="2"/>
      <c r="G1222" s="2"/>
      <c r="H1222" s="1"/>
      <c r="I1222" s="2"/>
    </row>
    <row r="1223" spans="1:9" ht="12.75" x14ac:dyDescent="0.2">
      <c r="A1223" s="3"/>
      <c r="B1223" s="3"/>
      <c r="C1223" s="1"/>
      <c r="D1223" s="1"/>
      <c r="E1223" s="2"/>
      <c r="F1223" s="2"/>
      <c r="G1223" s="2"/>
      <c r="H1223" s="1"/>
      <c r="I1223" s="2"/>
    </row>
    <row r="1224" spans="1:9" ht="12.75" x14ac:dyDescent="0.2">
      <c r="A1224" s="3"/>
      <c r="B1224" s="3"/>
      <c r="C1224" s="1"/>
      <c r="D1224" s="1"/>
      <c r="E1224" s="2"/>
      <c r="F1224" s="2"/>
      <c r="G1224" s="2"/>
      <c r="H1224" s="1"/>
      <c r="I1224" s="2"/>
    </row>
    <row r="1225" spans="1:9" ht="12.75" x14ac:dyDescent="0.2">
      <c r="A1225" s="3"/>
      <c r="B1225" s="3"/>
      <c r="C1225" s="1"/>
      <c r="D1225" s="1"/>
      <c r="E1225" s="2"/>
      <c r="F1225" s="2"/>
      <c r="G1225" s="2"/>
      <c r="H1225" s="1"/>
      <c r="I1225" s="2"/>
    </row>
    <row r="1226" spans="1:9" ht="12.75" x14ac:dyDescent="0.2">
      <c r="A1226" s="3"/>
      <c r="B1226" s="3"/>
      <c r="C1226" s="1"/>
      <c r="D1226" s="1"/>
      <c r="E1226" s="2"/>
      <c r="F1226" s="2"/>
      <c r="G1226" s="2"/>
      <c r="H1226" s="1"/>
      <c r="I1226" s="2"/>
    </row>
    <row r="1227" spans="1:9" ht="12.75" x14ac:dyDescent="0.2">
      <c r="A1227" s="3"/>
      <c r="B1227" s="3"/>
      <c r="C1227" s="1"/>
      <c r="D1227" s="1"/>
      <c r="E1227" s="2"/>
      <c r="F1227" s="2"/>
      <c r="G1227" s="2"/>
      <c r="H1227" s="1"/>
      <c r="I1227" s="2"/>
    </row>
    <row r="1228" spans="1:9" ht="12.75" x14ac:dyDescent="0.2">
      <c r="A1228" s="3"/>
      <c r="B1228" s="3"/>
      <c r="C1228" s="1"/>
      <c r="D1228" s="1"/>
      <c r="E1228" s="2"/>
      <c r="F1228" s="2"/>
      <c r="G1228" s="2"/>
      <c r="H1228" s="1"/>
      <c r="I1228" s="2"/>
    </row>
    <row r="1229" spans="1:9" ht="12.75" x14ac:dyDescent="0.2">
      <c r="A1229" s="3"/>
      <c r="B1229" s="3"/>
      <c r="C1229" s="1"/>
      <c r="D1229" s="1"/>
      <c r="E1229" s="2"/>
      <c r="F1229" s="2"/>
      <c r="G1229" s="2"/>
      <c r="H1229" s="1"/>
      <c r="I1229" s="2"/>
    </row>
    <row r="1230" spans="1:9" ht="12.75" x14ac:dyDescent="0.2">
      <c r="A1230" s="3"/>
      <c r="B1230" s="3"/>
      <c r="C1230" s="1"/>
      <c r="D1230" s="1"/>
      <c r="E1230" s="2"/>
      <c r="F1230" s="2"/>
      <c r="G1230" s="2"/>
      <c r="H1230" s="1"/>
      <c r="I1230" s="2"/>
    </row>
    <row r="1231" spans="1:9" ht="12.75" x14ac:dyDescent="0.2">
      <c r="A1231" s="3"/>
      <c r="B1231" s="3"/>
      <c r="C1231" s="1"/>
      <c r="D1231" s="1"/>
      <c r="E1231" s="2"/>
      <c r="F1231" s="2"/>
      <c r="G1231" s="2"/>
      <c r="H1231" s="1"/>
      <c r="I1231" s="2"/>
    </row>
    <row r="1232" spans="1:9" ht="12.75" x14ac:dyDescent="0.2">
      <c r="A1232" s="3"/>
      <c r="B1232" s="3"/>
      <c r="C1232" s="1"/>
      <c r="D1232" s="1"/>
      <c r="E1232" s="2"/>
      <c r="F1232" s="2"/>
      <c r="G1232" s="2"/>
      <c r="H1232" s="1"/>
      <c r="I1232" s="2"/>
    </row>
    <row r="1233" spans="1:9" ht="12.75" x14ac:dyDescent="0.2">
      <c r="A1233" s="3"/>
      <c r="B1233" s="3"/>
      <c r="C1233" s="1"/>
      <c r="D1233" s="1"/>
      <c r="E1233" s="2"/>
      <c r="F1233" s="2"/>
      <c r="G1233" s="2"/>
      <c r="H1233" s="1"/>
      <c r="I1233" s="2"/>
    </row>
    <row r="1234" spans="1:9" ht="12.75" x14ac:dyDescent="0.2">
      <c r="A1234" s="3"/>
      <c r="B1234" s="3"/>
      <c r="C1234" s="1"/>
      <c r="D1234" s="1"/>
      <c r="E1234" s="2"/>
      <c r="F1234" s="2"/>
      <c r="G1234" s="2"/>
      <c r="H1234" s="1"/>
      <c r="I1234" s="2"/>
    </row>
    <row r="1235" spans="1:9" ht="12.75" x14ac:dyDescent="0.2">
      <c r="A1235" s="3"/>
      <c r="B1235" s="3"/>
      <c r="C1235" s="1"/>
      <c r="D1235" s="1"/>
      <c r="E1235" s="2"/>
      <c r="F1235" s="2"/>
      <c r="G1235" s="2"/>
      <c r="H1235" s="1"/>
      <c r="I1235" s="2"/>
    </row>
    <row r="1236" spans="1:9" ht="12.75" x14ac:dyDescent="0.2">
      <c r="A1236" s="3"/>
      <c r="B1236" s="3"/>
      <c r="C1236" s="1"/>
      <c r="D1236" s="1"/>
      <c r="E1236" s="2"/>
      <c r="F1236" s="2"/>
      <c r="G1236" s="2"/>
      <c r="H1236" s="1"/>
      <c r="I1236" s="2"/>
    </row>
    <row r="1237" spans="1:9" ht="12.75" x14ac:dyDescent="0.2">
      <c r="A1237" s="3"/>
      <c r="B1237" s="3"/>
      <c r="C1237" s="1"/>
      <c r="D1237" s="1"/>
      <c r="E1237" s="2"/>
      <c r="F1237" s="2"/>
      <c r="G1237" s="2"/>
      <c r="H1237" s="1"/>
      <c r="I1237" s="2"/>
    </row>
    <row r="1238" spans="1:9" ht="12.75" x14ac:dyDescent="0.2">
      <c r="A1238" s="3"/>
      <c r="B1238" s="3"/>
      <c r="C1238" s="1"/>
      <c r="D1238" s="1"/>
      <c r="E1238" s="2"/>
      <c r="F1238" s="2"/>
      <c r="G1238" s="2"/>
      <c r="H1238" s="1"/>
      <c r="I1238" s="2"/>
    </row>
    <row r="1239" spans="1:9" ht="12.75" x14ac:dyDescent="0.2">
      <c r="A1239" s="3"/>
      <c r="B1239" s="3"/>
      <c r="C1239" s="1"/>
      <c r="D1239" s="1"/>
      <c r="E1239" s="2"/>
      <c r="F1239" s="2"/>
      <c r="G1239" s="2"/>
      <c r="H1239" s="1"/>
      <c r="I1239" s="2"/>
    </row>
    <row r="1240" spans="1:9" ht="12.75" x14ac:dyDescent="0.2">
      <c r="A1240" s="3"/>
      <c r="B1240" s="3"/>
      <c r="C1240" s="1"/>
      <c r="D1240" s="1"/>
      <c r="E1240" s="2"/>
      <c r="F1240" s="2"/>
      <c r="G1240" s="2"/>
      <c r="H1240" s="1"/>
      <c r="I1240" s="2"/>
    </row>
    <row r="1241" spans="1:9" ht="12.75" x14ac:dyDescent="0.2">
      <c r="A1241" s="3"/>
      <c r="B1241" s="3"/>
      <c r="C1241" s="1"/>
      <c r="D1241" s="1"/>
      <c r="E1241" s="2"/>
      <c r="F1241" s="2"/>
      <c r="G1241" s="2"/>
      <c r="H1241" s="1"/>
      <c r="I1241" s="2"/>
    </row>
    <row r="1242" spans="1:9" ht="12.75" x14ac:dyDescent="0.2">
      <c r="A1242" s="3"/>
      <c r="B1242" s="3"/>
      <c r="C1242" s="1"/>
      <c r="D1242" s="1"/>
      <c r="E1242" s="2"/>
      <c r="F1242" s="2"/>
      <c r="G1242" s="2"/>
      <c r="H1242" s="1"/>
      <c r="I1242" s="2"/>
    </row>
    <row r="1243" spans="1:9" ht="12.75" x14ac:dyDescent="0.2">
      <c r="A1243" s="3"/>
      <c r="B1243" s="3"/>
      <c r="C1243" s="1"/>
      <c r="D1243" s="1"/>
      <c r="E1243" s="2"/>
      <c r="F1243" s="2"/>
      <c r="G1243" s="2"/>
      <c r="H1243" s="1"/>
      <c r="I1243" s="2"/>
    </row>
    <row r="1244" spans="1:9" ht="12.75" x14ac:dyDescent="0.2">
      <c r="A1244" s="3"/>
      <c r="B1244" s="3"/>
      <c r="C1244" s="1"/>
      <c r="D1244" s="1"/>
      <c r="E1244" s="2"/>
      <c r="F1244" s="2"/>
      <c r="G1244" s="2"/>
      <c r="H1244" s="1"/>
      <c r="I1244" s="2"/>
    </row>
    <row r="1245" spans="1:9" ht="12.75" x14ac:dyDescent="0.2">
      <c r="A1245" s="3"/>
      <c r="B1245" s="3"/>
      <c r="C1245" s="1"/>
      <c r="D1245" s="1"/>
      <c r="E1245" s="2"/>
      <c r="F1245" s="2"/>
      <c r="G1245" s="2"/>
      <c r="H1245" s="1"/>
      <c r="I1245" s="2"/>
    </row>
    <row r="1246" spans="1:9" ht="12.75" x14ac:dyDescent="0.2">
      <c r="A1246" s="3"/>
      <c r="B1246" s="3"/>
      <c r="C1246" s="1"/>
      <c r="D1246" s="1"/>
      <c r="E1246" s="2"/>
      <c r="F1246" s="2"/>
      <c r="G1246" s="2"/>
      <c r="H1246" s="1"/>
      <c r="I1246" s="2"/>
    </row>
    <row r="1247" spans="1:9" ht="12.75" x14ac:dyDescent="0.2">
      <c r="A1247" s="3"/>
      <c r="B1247" s="3"/>
      <c r="C1247" s="1"/>
      <c r="D1247" s="1"/>
      <c r="E1247" s="2"/>
      <c r="F1247" s="2"/>
      <c r="G1247" s="2"/>
      <c r="H1247" s="1"/>
      <c r="I1247" s="2"/>
    </row>
    <row r="1248" spans="1:9" ht="12.75" x14ac:dyDescent="0.2">
      <c r="A1248" s="1"/>
      <c r="B1248" s="1"/>
      <c r="C1248" s="1"/>
      <c r="D1248" s="1"/>
      <c r="H1248" s="1"/>
    </row>
  </sheetData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B986-39A2-4DB3-B8F1-CE0614667AF2}">
  <dimension ref="A3:B21"/>
  <sheetViews>
    <sheetView zoomScale="85" zoomScaleNormal="85" workbookViewId="0">
      <selection activeCell="A20" sqref="A20"/>
    </sheetView>
  </sheetViews>
  <sheetFormatPr baseColWidth="10" defaultRowHeight="12.75" x14ac:dyDescent="0.2"/>
  <cols>
    <col min="1" max="1" width="21.28515625" bestFit="1" customWidth="1"/>
    <col min="2" max="4" width="28.85546875" bestFit="1" customWidth="1"/>
    <col min="5" max="5" width="27.7109375" bestFit="1" customWidth="1"/>
    <col min="6" max="9" width="39.7109375" bestFit="1" customWidth="1"/>
  </cols>
  <sheetData>
    <row r="3" spans="1:2" x14ac:dyDescent="0.2">
      <c r="A3" s="13" t="s">
        <v>29</v>
      </c>
      <c r="B3" t="s">
        <v>47</v>
      </c>
    </row>
    <row r="4" spans="1:2" x14ac:dyDescent="0.2">
      <c r="A4" s="14" t="s">
        <v>70</v>
      </c>
      <c r="B4" s="28">
        <v>4051.4285714285716</v>
      </c>
    </row>
    <row r="5" spans="1:2" x14ac:dyDescent="0.2">
      <c r="A5" s="14" t="s">
        <v>71</v>
      </c>
      <c r="B5" s="28">
        <v>4781.2857142857147</v>
      </c>
    </row>
    <row r="6" spans="1:2" x14ac:dyDescent="0.2">
      <c r="A6" s="14" t="s">
        <v>72</v>
      </c>
      <c r="B6" s="28">
        <v>4342.1428571428569</v>
      </c>
    </row>
    <row r="7" spans="1:2" x14ac:dyDescent="0.2">
      <c r="A7" s="14" t="s">
        <v>73</v>
      </c>
      <c r="B7" s="28">
        <v>4649.5714285714284</v>
      </c>
    </row>
    <row r="8" spans="1:2" x14ac:dyDescent="0.2">
      <c r="A8" s="14" t="s">
        <v>74</v>
      </c>
      <c r="B8" s="28">
        <v>3965.1428571428573</v>
      </c>
    </row>
    <row r="9" spans="1:2" x14ac:dyDescent="0.2">
      <c r="A9" s="14" t="s">
        <v>75</v>
      </c>
      <c r="B9" s="28">
        <v>4744.4285714285716</v>
      </c>
    </row>
    <row r="10" spans="1:2" x14ac:dyDescent="0.2">
      <c r="A10" s="14" t="s">
        <v>76</v>
      </c>
      <c r="B10" s="28">
        <v>4723.5714285714284</v>
      </c>
    </row>
    <row r="11" spans="1:2" x14ac:dyDescent="0.2">
      <c r="A11" s="14" t="s">
        <v>77</v>
      </c>
      <c r="B11" s="28">
        <v>4954.4285714285716</v>
      </c>
    </row>
    <row r="12" spans="1:2" x14ac:dyDescent="0.2">
      <c r="A12" s="14" t="s">
        <v>39</v>
      </c>
      <c r="B12" s="28">
        <v>4472.5714285714284</v>
      </c>
    </row>
    <row r="13" spans="1:2" x14ac:dyDescent="0.2">
      <c r="A13" s="14" t="s">
        <v>40</v>
      </c>
      <c r="B13" s="28">
        <v>4692.8571428571431</v>
      </c>
    </row>
    <row r="14" spans="1:2" x14ac:dyDescent="0.2">
      <c r="A14" s="14" t="s">
        <v>41</v>
      </c>
      <c r="B14" s="28">
        <v>4623.2857142857147</v>
      </c>
    </row>
    <row r="15" spans="1:2" x14ac:dyDescent="0.2">
      <c r="A15" s="14" t="s">
        <v>42</v>
      </c>
      <c r="B15" s="28">
        <v>3700.1428571428573</v>
      </c>
    </row>
    <row r="16" spans="1:2" x14ac:dyDescent="0.2">
      <c r="A16" s="14" t="s">
        <v>43</v>
      </c>
      <c r="B16" s="28">
        <v>3995.5714285714284</v>
      </c>
    </row>
    <row r="17" spans="1:2" x14ac:dyDescent="0.2">
      <c r="A17" s="14" t="s">
        <v>44</v>
      </c>
      <c r="B17" s="28">
        <v>2857.5714285714284</v>
      </c>
    </row>
    <row r="18" spans="1:2" x14ac:dyDescent="0.2">
      <c r="A18" s="14" t="s">
        <v>45</v>
      </c>
      <c r="B18" s="28">
        <v>3104.7142857142858</v>
      </c>
    </row>
    <row r="19" spans="1:2" x14ac:dyDescent="0.2">
      <c r="A19" s="14" t="s">
        <v>46</v>
      </c>
      <c r="B19" s="28">
        <v>2576.7142857142858</v>
      </c>
    </row>
    <row r="20" spans="1:2" x14ac:dyDescent="0.2">
      <c r="A20" s="14" t="s">
        <v>112</v>
      </c>
      <c r="B20" s="28">
        <v>3507.8571428571427</v>
      </c>
    </row>
    <row r="21" spans="1:2" x14ac:dyDescent="0.2">
      <c r="A21" s="14" t="s">
        <v>30</v>
      </c>
      <c r="B21" s="28">
        <v>69743.28571428571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7CED-018C-445C-80BC-70A900CA6CA5}">
  <dimension ref="A1:O343"/>
  <sheetViews>
    <sheetView topLeftCell="A315" workbookViewId="0">
      <selection activeCell="C346" sqref="C346"/>
    </sheetView>
  </sheetViews>
  <sheetFormatPr baseColWidth="10" defaultRowHeight="12.75" x14ac:dyDescent="0.2"/>
  <cols>
    <col min="1" max="1" width="11.42578125" style="29"/>
    <col min="4" max="4" width="26.140625" customWidth="1"/>
    <col min="5" max="5" width="13.140625" customWidth="1"/>
    <col min="6" max="6" width="11.85546875" customWidth="1"/>
    <col min="7" max="7" width="24.5703125" customWidth="1"/>
    <col min="8" max="8" width="12.5703125" customWidth="1"/>
    <col min="9" max="9" width="15.7109375" customWidth="1"/>
    <col min="11" max="11" width="17.85546875" bestFit="1" customWidth="1"/>
    <col min="12" max="12" width="33.28515625" bestFit="1" customWidth="1"/>
    <col min="13" max="13" width="19.85546875" bestFit="1" customWidth="1"/>
    <col min="14" max="14" width="18.5703125" bestFit="1" customWidth="1"/>
    <col min="15" max="15" width="31.7109375" bestFit="1" customWidth="1"/>
  </cols>
  <sheetData>
    <row r="1" spans="1:15" x14ac:dyDescent="0.2">
      <c r="A1" s="29" t="s">
        <v>52</v>
      </c>
      <c r="B1" t="s">
        <v>53</v>
      </c>
      <c r="C1" t="s">
        <v>54</v>
      </c>
      <c r="D1" t="s">
        <v>55</v>
      </c>
      <c r="E1" t="s">
        <v>50</v>
      </c>
      <c r="F1" t="s">
        <v>56</v>
      </c>
      <c r="G1" t="s">
        <v>51</v>
      </c>
      <c r="H1" t="s">
        <v>57</v>
      </c>
      <c r="I1" t="s">
        <v>58</v>
      </c>
    </row>
    <row r="2" spans="1:15" x14ac:dyDescent="0.2">
      <c r="A2" s="29">
        <v>45852</v>
      </c>
      <c r="B2" t="s">
        <v>63</v>
      </c>
      <c r="C2" t="s">
        <v>59</v>
      </c>
      <c r="D2">
        <v>29</v>
      </c>
      <c r="E2">
        <v>31</v>
      </c>
      <c r="F2">
        <v>28</v>
      </c>
      <c r="G2">
        <v>25</v>
      </c>
      <c r="H2">
        <v>13</v>
      </c>
      <c r="I2">
        <v>28</v>
      </c>
    </row>
    <row r="3" spans="1:15" x14ac:dyDescent="0.2">
      <c r="A3" s="29">
        <v>45852</v>
      </c>
      <c r="B3" t="s">
        <v>63</v>
      </c>
      <c r="C3" t="s">
        <v>60</v>
      </c>
      <c r="D3">
        <v>30</v>
      </c>
      <c r="E3">
        <v>17</v>
      </c>
      <c r="F3">
        <v>15</v>
      </c>
      <c r="G3">
        <v>15</v>
      </c>
      <c r="H3">
        <v>5</v>
      </c>
      <c r="I3">
        <v>15</v>
      </c>
    </row>
    <row r="4" spans="1:15" x14ac:dyDescent="0.2">
      <c r="A4" s="29">
        <v>45852</v>
      </c>
      <c r="B4" t="s">
        <v>63</v>
      </c>
      <c r="C4" t="s">
        <v>61</v>
      </c>
      <c r="D4">
        <v>35</v>
      </c>
      <c r="E4">
        <v>30</v>
      </c>
      <c r="F4">
        <v>29</v>
      </c>
      <c r="G4">
        <v>26</v>
      </c>
      <c r="H4">
        <v>17</v>
      </c>
      <c r="I4">
        <v>29</v>
      </c>
      <c r="K4" s="13" t="s">
        <v>29</v>
      </c>
      <c r="L4" t="s">
        <v>78</v>
      </c>
      <c r="M4" t="s">
        <v>79</v>
      </c>
      <c r="N4" t="s">
        <v>80</v>
      </c>
      <c r="O4" t="s">
        <v>81</v>
      </c>
    </row>
    <row r="5" spans="1:15" x14ac:dyDescent="0.2">
      <c r="A5" s="29">
        <v>45853</v>
      </c>
      <c r="B5" t="s">
        <v>64</v>
      </c>
      <c r="C5" t="s">
        <v>59</v>
      </c>
      <c r="D5">
        <v>35</v>
      </c>
      <c r="E5">
        <v>30</v>
      </c>
      <c r="F5">
        <v>27</v>
      </c>
      <c r="G5">
        <v>24</v>
      </c>
      <c r="H5">
        <v>15</v>
      </c>
      <c r="I5">
        <v>27</v>
      </c>
      <c r="K5" s="27">
        <v>45860</v>
      </c>
      <c r="L5">
        <v>80</v>
      </c>
      <c r="M5">
        <v>78</v>
      </c>
      <c r="N5">
        <v>76</v>
      </c>
      <c r="O5">
        <v>70</v>
      </c>
    </row>
    <row r="6" spans="1:15" x14ac:dyDescent="0.2">
      <c r="A6" s="29">
        <v>45853</v>
      </c>
      <c r="B6" t="s">
        <v>64</v>
      </c>
      <c r="C6" t="s">
        <v>60</v>
      </c>
      <c r="D6">
        <v>26</v>
      </c>
      <c r="E6">
        <v>18</v>
      </c>
      <c r="F6">
        <v>17</v>
      </c>
      <c r="G6">
        <v>19</v>
      </c>
      <c r="H6">
        <v>10</v>
      </c>
      <c r="I6">
        <v>17</v>
      </c>
      <c r="K6" s="27">
        <v>45861</v>
      </c>
      <c r="L6">
        <v>80</v>
      </c>
      <c r="M6">
        <v>79</v>
      </c>
      <c r="N6">
        <v>75</v>
      </c>
      <c r="O6">
        <v>64</v>
      </c>
    </row>
    <row r="7" spans="1:15" x14ac:dyDescent="0.2">
      <c r="A7" s="29">
        <v>45853</v>
      </c>
      <c r="B7" t="s">
        <v>64</v>
      </c>
      <c r="C7" t="s">
        <v>61</v>
      </c>
      <c r="D7">
        <v>32</v>
      </c>
      <c r="E7">
        <v>31</v>
      </c>
      <c r="F7">
        <v>33</v>
      </c>
      <c r="G7">
        <v>25</v>
      </c>
      <c r="H7">
        <v>11</v>
      </c>
      <c r="I7">
        <v>31</v>
      </c>
      <c r="K7" s="27">
        <v>45862</v>
      </c>
      <c r="L7">
        <v>94</v>
      </c>
      <c r="M7">
        <v>78</v>
      </c>
      <c r="N7">
        <v>71</v>
      </c>
      <c r="O7">
        <v>62</v>
      </c>
    </row>
    <row r="8" spans="1:15" x14ac:dyDescent="0.2">
      <c r="A8" s="29">
        <v>45854</v>
      </c>
      <c r="B8" t="s">
        <v>65</v>
      </c>
      <c r="C8" t="s">
        <v>59</v>
      </c>
      <c r="D8">
        <v>32</v>
      </c>
      <c r="E8">
        <v>31</v>
      </c>
      <c r="F8">
        <v>28</v>
      </c>
      <c r="G8">
        <v>25</v>
      </c>
      <c r="H8">
        <v>13</v>
      </c>
      <c r="I8">
        <v>28</v>
      </c>
      <c r="K8" s="27">
        <v>45863</v>
      </c>
      <c r="L8">
        <v>84</v>
      </c>
      <c r="M8">
        <v>76</v>
      </c>
      <c r="N8">
        <v>76</v>
      </c>
      <c r="O8">
        <v>66</v>
      </c>
    </row>
    <row r="9" spans="1:15" x14ac:dyDescent="0.2">
      <c r="A9" s="29">
        <v>45854</v>
      </c>
      <c r="B9" t="s">
        <v>65</v>
      </c>
      <c r="C9" t="s">
        <v>60</v>
      </c>
      <c r="D9">
        <v>30</v>
      </c>
      <c r="E9">
        <v>18</v>
      </c>
      <c r="F9">
        <v>17</v>
      </c>
      <c r="G9">
        <v>16</v>
      </c>
      <c r="H9">
        <v>5</v>
      </c>
      <c r="I9">
        <v>17</v>
      </c>
      <c r="K9" s="27">
        <v>45875</v>
      </c>
      <c r="L9">
        <v>89</v>
      </c>
      <c r="M9">
        <v>70</v>
      </c>
      <c r="N9">
        <v>72</v>
      </c>
      <c r="O9">
        <v>66</v>
      </c>
    </row>
    <row r="10" spans="1:15" x14ac:dyDescent="0.2">
      <c r="A10" s="29">
        <v>45854</v>
      </c>
      <c r="B10" t="s">
        <v>65</v>
      </c>
      <c r="C10" t="s">
        <v>61</v>
      </c>
      <c r="D10">
        <v>26</v>
      </c>
      <c r="E10">
        <v>31</v>
      </c>
      <c r="F10">
        <v>31</v>
      </c>
      <c r="G10">
        <v>25</v>
      </c>
      <c r="H10">
        <v>16</v>
      </c>
      <c r="I10">
        <v>31</v>
      </c>
      <c r="K10" s="27">
        <v>45876</v>
      </c>
      <c r="L10">
        <v>93</v>
      </c>
      <c r="M10">
        <v>69</v>
      </c>
      <c r="N10">
        <v>70</v>
      </c>
      <c r="O10">
        <v>64</v>
      </c>
    </row>
    <row r="11" spans="1:15" x14ac:dyDescent="0.2">
      <c r="A11" s="29">
        <v>45855</v>
      </c>
      <c r="B11" t="s">
        <v>66</v>
      </c>
      <c r="C11" t="s">
        <v>59</v>
      </c>
      <c r="D11">
        <v>29</v>
      </c>
      <c r="E11">
        <v>31</v>
      </c>
      <c r="F11">
        <v>28</v>
      </c>
      <c r="G11">
        <v>25</v>
      </c>
      <c r="H11">
        <v>11</v>
      </c>
      <c r="I11">
        <v>28</v>
      </c>
      <c r="K11" s="27">
        <v>45877</v>
      </c>
      <c r="L11">
        <v>102</v>
      </c>
      <c r="M11">
        <v>70</v>
      </c>
      <c r="N11">
        <v>74</v>
      </c>
      <c r="O11">
        <v>60</v>
      </c>
    </row>
    <row r="12" spans="1:15" x14ac:dyDescent="0.2">
      <c r="A12" s="29">
        <v>45855</v>
      </c>
      <c r="B12" t="s">
        <v>66</v>
      </c>
      <c r="C12" t="s">
        <v>60</v>
      </c>
      <c r="D12">
        <v>30</v>
      </c>
      <c r="E12">
        <v>18</v>
      </c>
      <c r="F12">
        <v>15</v>
      </c>
      <c r="G12">
        <v>14</v>
      </c>
      <c r="H12">
        <v>9</v>
      </c>
      <c r="I12">
        <v>15</v>
      </c>
      <c r="K12" s="27">
        <v>45883</v>
      </c>
      <c r="L12">
        <v>95</v>
      </c>
      <c r="M12">
        <v>72</v>
      </c>
      <c r="N12">
        <v>75</v>
      </c>
      <c r="O12">
        <v>63</v>
      </c>
    </row>
    <row r="13" spans="1:15" x14ac:dyDescent="0.2">
      <c r="A13" s="29">
        <v>45855</v>
      </c>
      <c r="B13" t="s">
        <v>66</v>
      </c>
      <c r="C13" t="s">
        <v>61</v>
      </c>
      <c r="D13">
        <v>31</v>
      </c>
      <c r="E13">
        <v>18</v>
      </c>
      <c r="F13">
        <v>17</v>
      </c>
      <c r="G13">
        <v>20</v>
      </c>
      <c r="H13">
        <v>11</v>
      </c>
      <c r="I13">
        <v>17</v>
      </c>
      <c r="K13" s="27">
        <v>45884</v>
      </c>
      <c r="L13">
        <v>90</v>
      </c>
      <c r="M13">
        <v>75</v>
      </c>
      <c r="N13">
        <v>71</v>
      </c>
      <c r="O13">
        <v>66</v>
      </c>
    </row>
    <row r="14" spans="1:15" x14ac:dyDescent="0.2">
      <c r="A14" s="29">
        <v>45856</v>
      </c>
      <c r="B14" t="s">
        <v>67</v>
      </c>
      <c r="C14" t="s">
        <v>59</v>
      </c>
      <c r="D14">
        <v>30</v>
      </c>
      <c r="E14">
        <v>11</v>
      </c>
      <c r="F14">
        <v>14</v>
      </c>
      <c r="G14">
        <v>10</v>
      </c>
      <c r="H14">
        <v>3</v>
      </c>
      <c r="I14">
        <v>11</v>
      </c>
      <c r="K14" s="27">
        <v>45885</v>
      </c>
      <c r="L14">
        <v>46</v>
      </c>
      <c r="M14">
        <v>42</v>
      </c>
      <c r="N14">
        <v>40</v>
      </c>
      <c r="O14">
        <v>38</v>
      </c>
    </row>
    <row r="15" spans="1:15" x14ac:dyDescent="0.2">
      <c r="A15" s="29">
        <v>45856</v>
      </c>
      <c r="B15" t="s">
        <v>67</v>
      </c>
      <c r="C15" t="s">
        <v>60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K15" s="27">
        <v>45889</v>
      </c>
      <c r="L15">
        <v>94</v>
      </c>
      <c r="M15">
        <v>73</v>
      </c>
      <c r="N15">
        <v>67</v>
      </c>
      <c r="O15">
        <v>61</v>
      </c>
    </row>
    <row r="16" spans="1:15" x14ac:dyDescent="0.2">
      <c r="A16" s="29">
        <v>45856</v>
      </c>
      <c r="B16" t="s">
        <v>67</v>
      </c>
      <c r="C16" t="s">
        <v>61</v>
      </c>
      <c r="D16">
        <v>31</v>
      </c>
      <c r="E16">
        <v>27</v>
      </c>
      <c r="F16">
        <v>31</v>
      </c>
      <c r="G16">
        <v>26</v>
      </c>
      <c r="H16">
        <v>12</v>
      </c>
      <c r="I16">
        <v>27</v>
      </c>
      <c r="K16" s="27">
        <v>45890</v>
      </c>
      <c r="L16">
        <v>91</v>
      </c>
      <c r="M16">
        <v>78</v>
      </c>
      <c r="N16">
        <v>73</v>
      </c>
      <c r="O16">
        <v>66</v>
      </c>
    </row>
    <row r="17" spans="1:15" x14ac:dyDescent="0.2">
      <c r="A17" s="29">
        <v>45857</v>
      </c>
      <c r="B17" t="s">
        <v>68</v>
      </c>
      <c r="C17" t="s">
        <v>59</v>
      </c>
      <c r="D17">
        <v>31</v>
      </c>
      <c r="E17">
        <v>27</v>
      </c>
      <c r="F17">
        <v>24</v>
      </c>
      <c r="G17">
        <v>22</v>
      </c>
      <c r="H17">
        <v>22</v>
      </c>
      <c r="I17">
        <v>24</v>
      </c>
      <c r="K17" s="27">
        <v>45891</v>
      </c>
      <c r="L17">
        <v>90</v>
      </c>
      <c r="M17">
        <v>73</v>
      </c>
      <c r="N17">
        <v>70</v>
      </c>
      <c r="O17">
        <v>63</v>
      </c>
    </row>
    <row r="18" spans="1:15" x14ac:dyDescent="0.2">
      <c r="A18" s="29">
        <v>45857</v>
      </c>
      <c r="B18" t="s">
        <v>68</v>
      </c>
      <c r="C18" t="s">
        <v>60</v>
      </c>
      <c r="D18">
        <v>25</v>
      </c>
      <c r="E18">
        <v>12</v>
      </c>
      <c r="F18">
        <v>11</v>
      </c>
      <c r="G18">
        <v>10</v>
      </c>
      <c r="H18">
        <v>9</v>
      </c>
      <c r="I18">
        <v>11</v>
      </c>
      <c r="K18" s="27">
        <v>45892</v>
      </c>
      <c r="L18">
        <v>90</v>
      </c>
      <c r="M18">
        <v>62</v>
      </c>
      <c r="N18">
        <v>57</v>
      </c>
      <c r="O18">
        <v>54</v>
      </c>
    </row>
    <row r="19" spans="1:15" x14ac:dyDescent="0.2">
      <c r="A19" s="29">
        <v>45857</v>
      </c>
      <c r="B19" t="s">
        <v>68</v>
      </c>
      <c r="C19" t="s">
        <v>61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K19" s="27">
        <v>45895</v>
      </c>
      <c r="L19">
        <v>97</v>
      </c>
      <c r="M19">
        <v>80</v>
      </c>
      <c r="N19">
        <v>76</v>
      </c>
      <c r="O19">
        <v>68</v>
      </c>
    </row>
    <row r="20" spans="1:15" x14ac:dyDescent="0.2">
      <c r="A20" s="29">
        <v>45858</v>
      </c>
      <c r="B20" t="s">
        <v>69</v>
      </c>
      <c r="C20" t="s">
        <v>59</v>
      </c>
      <c r="D20">
        <v>33</v>
      </c>
      <c r="E20">
        <v>24</v>
      </c>
      <c r="F20">
        <v>21</v>
      </c>
      <c r="G20">
        <v>21</v>
      </c>
      <c r="H20">
        <v>15</v>
      </c>
      <c r="I20">
        <v>21</v>
      </c>
      <c r="K20" s="27">
        <v>45897</v>
      </c>
      <c r="L20">
        <v>90</v>
      </c>
      <c r="M20">
        <v>79</v>
      </c>
      <c r="N20">
        <v>74</v>
      </c>
      <c r="O20">
        <v>69</v>
      </c>
    </row>
    <row r="21" spans="1:15" x14ac:dyDescent="0.2">
      <c r="A21" s="29">
        <v>45858</v>
      </c>
      <c r="B21" t="s">
        <v>69</v>
      </c>
      <c r="C21" t="s">
        <v>60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K21" s="27">
        <v>45898</v>
      </c>
      <c r="L21">
        <v>100</v>
      </c>
      <c r="M21">
        <v>82</v>
      </c>
      <c r="N21">
        <v>76</v>
      </c>
      <c r="O21">
        <v>70</v>
      </c>
    </row>
    <row r="22" spans="1:15" x14ac:dyDescent="0.2">
      <c r="A22" s="29">
        <v>45858</v>
      </c>
      <c r="B22" t="s">
        <v>69</v>
      </c>
      <c r="C22" t="s">
        <v>61</v>
      </c>
      <c r="D22">
        <v>28</v>
      </c>
      <c r="E22">
        <v>30</v>
      </c>
      <c r="F22">
        <v>35</v>
      </c>
      <c r="G22">
        <v>27</v>
      </c>
      <c r="H22">
        <v>18</v>
      </c>
      <c r="I22">
        <v>30</v>
      </c>
      <c r="K22" s="27">
        <v>45899</v>
      </c>
      <c r="L22">
        <v>61</v>
      </c>
      <c r="M22">
        <v>43</v>
      </c>
      <c r="N22">
        <v>40</v>
      </c>
      <c r="O22">
        <v>38</v>
      </c>
    </row>
    <row r="23" spans="1:15" x14ac:dyDescent="0.2">
      <c r="A23" s="29">
        <v>45859</v>
      </c>
      <c r="B23" t="s">
        <v>63</v>
      </c>
      <c r="C23" t="s">
        <v>59</v>
      </c>
      <c r="D23">
        <v>21</v>
      </c>
      <c r="E23">
        <v>30</v>
      </c>
      <c r="F23">
        <v>29</v>
      </c>
      <c r="G23">
        <v>22</v>
      </c>
      <c r="H23">
        <v>15</v>
      </c>
      <c r="I23">
        <v>29</v>
      </c>
      <c r="K23" s="27">
        <v>45902</v>
      </c>
      <c r="L23">
        <v>82</v>
      </c>
      <c r="M23">
        <v>80</v>
      </c>
      <c r="N23">
        <v>71</v>
      </c>
      <c r="O23">
        <v>66</v>
      </c>
    </row>
    <row r="24" spans="1:15" x14ac:dyDescent="0.2">
      <c r="A24" s="29">
        <v>45859</v>
      </c>
      <c r="B24" t="s">
        <v>63</v>
      </c>
      <c r="C24" t="s">
        <v>60</v>
      </c>
      <c r="D24">
        <v>26</v>
      </c>
      <c r="E24">
        <v>18</v>
      </c>
      <c r="F24">
        <v>16</v>
      </c>
      <c r="G24">
        <v>15</v>
      </c>
      <c r="H24">
        <v>10</v>
      </c>
      <c r="I24">
        <v>16</v>
      </c>
      <c r="K24" s="27">
        <v>45903</v>
      </c>
      <c r="L24">
        <v>93</v>
      </c>
      <c r="M24">
        <v>83</v>
      </c>
      <c r="N24">
        <v>69</v>
      </c>
      <c r="O24">
        <v>64</v>
      </c>
    </row>
    <row r="25" spans="1:15" x14ac:dyDescent="0.2">
      <c r="A25" s="29">
        <v>45859</v>
      </c>
      <c r="B25" t="s">
        <v>63</v>
      </c>
      <c r="C25" t="s">
        <v>61</v>
      </c>
      <c r="D25">
        <v>31</v>
      </c>
      <c r="E25">
        <v>32</v>
      </c>
      <c r="F25">
        <v>34</v>
      </c>
      <c r="G25">
        <v>26</v>
      </c>
      <c r="H25">
        <v>25</v>
      </c>
      <c r="I25">
        <v>32</v>
      </c>
      <c r="K25" s="27">
        <v>45904</v>
      </c>
      <c r="L25">
        <v>93</v>
      </c>
      <c r="M25">
        <v>78</v>
      </c>
      <c r="N25">
        <v>68</v>
      </c>
      <c r="O25">
        <v>61</v>
      </c>
    </row>
    <row r="26" spans="1:15" x14ac:dyDescent="0.2">
      <c r="A26" s="29">
        <v>45860</v>
      </c>
      <c r="B26" t="s">
        <v>64</v>
      </c>
      <c r="C26" t="s">
        <v>59</v>
      </c>
      <c r="D26">
        <v>33</v>
      </c>
      <c r="E26">
        <v>29</v>
      </c>
      <c r="F26">
        <v>27</v>
      </c>
      <c r="G26">
        <v>25</v>
      </c>
      <c r="H26">
        <v>12</v>
      </c>
      <c r="I26">
        <v>27</v>
      </c>
      <c r="K26" s="27">
        <v>45905</v>
      </c>
      <c r="L26">
        <v>90</v>
      </c>
      <c r="M26">
        <v>78</v>
      </c>
      <c r="N26">
        <v>71</v>
      </c>
      <c r="O26">
        <v>61</v>
      </c>
    </row>
    <row r="27" spans="1:15" x14ac:dyDescent="0.2">
      <c r="A27" s="29">
        <v>45860</v>
      </c>
      <c r="B27" t="s">
        <v>64</v>
      </c>
      <c r="C27" t="s">
        <v>60</v>
      </c>
      <c r="D27">
        <v>20</v>
      </c>
      <c r="E27">
        <v>17</v>
      </c>
      <c r="F27">
        <v>16</v>
      </c>
      <c r="G27">
        <v>17</v>
      </c>
      <c r="H27">
        <v>14</v>
      </c>
      <c r="I27">
        <v>16</v>
      </c>
      <c r="K27" s="27">
        <v>45906</v>
      </c>
      <c r="L27">
        <v>62</v>
      </c>
      <c r="M27">
        <v>39</v>
      </c>
      <c r="N27">
        <v>37</v>
      </c>
      <c r="O27">
        <v>35</v>
      </c>
    </row>
    <row r="28" spans="1:15" x14ac:dyDescent="0.2">
      <c r="A28" s="29">
        <v>45860</v>
      </c>
      <c r="B28" t="s">
        <v>64</v>
      </c>
      <c r="C28" t="s">
        <v>61</v>
      </c>
      <c r="D28">
        <v>27</v>
      </c>
      <c r="E28">
        <v>32</v>
      </c>
      <c r="F28">
        <v>33</v>
      </c>
      <c r="G28">
        <v>28</v>
      </c>
      <c r="H28">
        <v>17</v>
      </c>
      <c r="I28">
        <v>32</v>
      </c>
      <c r="K28" s="27">
        <v>45920</v>
      </c>
      <c r="L28">
        <v>66</v>
      </c>
      <c r="M28">
        <v>42</v>
      </c>
      <c r="N28">
        <v>37</v>
      </c>
      <c r="O28">
        <v>35</v>
      </c>
    </row>
    <row r="29" spans="1:15" x14ac:dyDescent="0.2">
      <c r="A29" s="29">
        <v>45861</v>
      </c>
      <c r="B29" t="s">
        <v>65</v>
      </c>
      <c r="C29" t="s">
        <v>59</v>
      </c>
      <c r="D29">
        <v>29</v>
      </c>
      <c r="E29">
        <v>29</v>
      </c>
      <c r="F29">
        <v>27</v>
      </c>
      <c r="G29">
        <v>22</v>
      </c>
      <c r="H29">
        <v>13</v>
      </c>
      <c r="I29">
        <v>27</v>
      </c>
      <c r="K29" s="27">
        <v>45922</v>
      </c>
      <c r="L29">
        <v>86</v>
      </c>
      <c r="M29">
        <v>80</v>
      </c>
      <c r="N29">
        <v>72</v>
      </c>
      <c r="O29">
        <v>66</v>
      </c>
    </row>
    <row r="30" spans="1:15" x14ac:dyDescent="0.2">
      <c r="A30" s="29">
        <v>45861</v>
      </c>
      <c r="B30" t="s">
        <v>65</v>
      </c>
      <c r="C30" t="s">
        <v>60</v>
      </c>
      <c r="D30">
        <v>26</v>
      </c>
      <c r="E30">
        <v>19</v>
      </c>
      <c r="F30">
        <v>17</v>
      </c>
      <c r="G30">
        <v>17</v>
      </c>
      <c r="H30">
        <v>14</v>
      </c>
      <c r="I30">
        <v>17</v>
      </c>
      <c r="K30" s="27">
        <v>45923</v>
      </c>
      <c r="L30">
        <v>88</v>
      </c>
      <c r="M30">
        <v>79</v>
      </c>
      <c r="N30">
        <v>74</v>
      </c>
      <c r="O30">
        <v>65</v>
      </c>
    </row>
    <row r="31" spans="1:15" x14ac:dyDescent="0.2">
      <c r="A31" s="29">
        <v>45861</v>
      </c>
      <c r="B31" t="s">
        <v>65</v>
      </c>
      <c r="C31" t="s">
        <v>61</v>
      </c>
      <c r="D31">
        <v>25</v>
      </c>
      <c r="E31">
        <v>31</v>
      </c>
      <c r="F31">
        <v>31</v>
      </c>
      <c r="G31">
        <v>25</v>
      </c>
      <c r="H31">
        <v>13</v>
      </c>
      <c r="I31">
        <v>31</v>
      </c>
      <c r="K31" s="27">
        <v>45925</v>
      </c>
      <c r="L31">
        <v>85</v>
      </c>
      <c r="M31">
        <v>80</v>
      </c>
      <c r="N31">
        <v>74</v>
      </c>
      <c r="O31">
        <v>65</v>
      </c>
    </row>
    <row r="32" spans="1:15" x14ac:dyDescent="0.2">
      <c r="A32" s="29">
        <v>45862</v>
      </c>
      <c r="B32" t="s">
        <v>66</v>
      </c>
      <c r="C32" t="s">
        <v>59</v>
      </c>
      <c r="D32">
        <v>33</v>
      </c>
      <c r="E32">
        <v>31</v>
      </c>
      <c r="F32">
        <v>28</v>
      </c>
      <c r="G32">
        <v>25</v>
      </c>
      <c r="H32">
        <v>13</v>
      </c>
      <c r="I32">
        <v>28</v>
      </c>
      <c r="K32" s="27">
        <v>45926</v>
      </c>
      <c r="L32">
        <v>104</v>
      </c>
      <c r="M32">
        <v>79</v>
      </c>
      <c r="N32">
        <v>71</v>
      </c>
      <c r="O32">
        <v>63</v>
      </c>
    </row>
    <row r="33" spans="1:15" x14ac:dyDescent="0.2">
      <c r="A33" s="29">
        <v>45862</v>
      </c>
      <c r="B33" t="s">
        <v>66</v>
      </c>
      <c r="C33" t="s">
        <v>60</v>
      </c>
      <c r="D33">
        <v>28</v>
      </c>
      <c r="E33">
        <v>16</v>
      </c>
      <c r="F33">
        <v>11</v>
      </c>
      <c r="G33">
        <v>11</v>
      </c>
      <c r="H33">
        <v>5</v>
      </c>
      <c r="I33">
        <v>11</v>
      </c>
      <c r="K33" s="27">
        <v>45939</v>
      </c>
      <c r="L33">
        <v>80</v>
      </c>
      <c r="M33">
        <v>80</v>
      </c>
      <c r="N33">
        <v>75</v>
      </c>
      <c r="O33">
        <v>63</v>
      </c>
    </row>
    <row r="34" spans="1:15" x14ac:dyDescent="0.2">
      <c r="A34" s="29">
        <v>45862</v>
      </c>
      <c r="B34" t="s">
        <v>66</v>
      </c>
      <c r="C34" t="s">
        <v>61</v>
      </c>
      <c r="D34">
        <v>33</v>
      </c>
      <c r="E34">
        <v>31</v>
      </c>
      <c r="F34">
        <v>32</v>
      </c>
      <c r="G34">
        <v>26</v>
      </c>
      <c r="H34">
        <v>18</v>
      </c>
      <c r="I34">
        <v>31</v>
      </c>
      <c r="K34" s="14" t="s">
        <v>30</v>
      </c>
      <c r="L34">
        <v>2495</v>
      </c>
      <c r="M34">
        <v>2077</v>
      </c>
      <c r="N34">
        <v>1952</v>
      </c>
      <c r="O34">
        <v>1752</v>
      </c>
    </row>
    <row r="35" spans="1:15" x14ac:dyDescent="0.2">
      <c r="A35" s="29">
        <v>45863</v>
      </c>
      <c r="B35" t="s">
        <v>67</v>
      </c>
      <c r="C35" t="s">
        <v>59</v>
      </c>
      <c r="D35">
        <v>30</v>
      </c>
      <c r="E35">
        <v>31</v>
      </c>
      <c r="F35">
        <v>29</v>
      </c>
      <c r="G35">
        <v>26</v>
      </c>
      <c r="H35">
        <v>15</v>
      </c>
      <c r="I35">
        <v>29</v>
      </c>
      <c r="N35" s="29"/>
    </row>
    <row r="36" spans="1:15" x14ac:dyDescent="0.2">
      <c r="A36" s="29">
        <v>45863</v>
      </c>
      <c r="B36" t="s">
        <v>67</v>
      </c>
      <c r="C36" t="s">
        <v>60</v>
      </c>
      <c r="D36">
        <v>24</v>
      </c>
      <c r="E36">
        <v>13</v>
      </c>
      <c r="F36">
        <v>12</v>
      </c>
      <c r="G36">
        <v>12</v>
      </c>
      <c r="H36">
        <v>10</v>
      </c>
      <c r="I36">
        <v>12</v>
      </c>
      <c r="N36" s="29"/>
    </row>
    <row r="37" spans="1:15" x14ac:dyDescent="0.2">
      <c r="A37" s="29">
        <v>45863</v>
      </c>
      <c r="B37" t="s">
        <v>67</v>
      </c>
      <c r="C37" t="s">
        <v>61</v>
      </c>
      <c r="D37">
        <v>30</v>
      </c>
      <c r="E37">
        <v>32</v>
      </c>
      <c r="F37">
        <v>35</v>
      </c>
      <c r="G37">
        <v>28</v>
      </c>
      <c r="H37">
        <v>18</v>
      </c>
      <c r="I37">
        <v>32</v>
      </c>
      <c r="N37" s="29"/>
    </row>
    <row r="38" spans="1:15" x14ac:dyDescent="0.2">
      <c r="A38" s="29">
        <v>45864</v>
      </c>
      <c r="B38" t="s">
        <v>68</v>
      </c>
      <c r="C38" t="s">
        <v>59</v>
      </c>
      <c r="D38">
        <v>33</v>
      </c>
      <c r="E38">
        <v>29</v>
      </c>
      <c r="F38">
        <v>26</v>
      </c>
      <c r="G38">
        <v>24</v>
      </c>
      <c r="H38">
        <v>24</v>
      </c>
      <c r="I38">
        <v>26</v>
      </c>
    </row>
    <row r="39" spans="1:15" x14ac:dyDescent="0.2">
      <c r="A39" s="29">
        <v>45864</v>
      </c>
      <c r="B39" t="s">
        <v>68</v>
      </c>
      <c r="C39" t="s">
        <v>60</v>
      </c>
      <c r="D39">
        <v>26</v>
      </c>
      <c r="E39">
        <v>9</v>
      </c>
      <c r="F39">
        <v>9</v>
      </c>
      <c r="G39">
        <v>9</v>
      </c>
      <c r="H39">
        <v>3</v>
      </c>
      <c r="I39">
        <v>9</v>
      </c>
    </row>
    <row r="40" spans="1:15" x14ac:dyDescent="0.2">
      <c r="A40" s="29">
        <v>45864</v>
      </c>
      <c r="B40" t="s">
        <v>68</v>
      </c>
      <c r="C40" t="s">
        <v>61</v>
      </c>
      <c r="D40" t="s">
        <v>62</v>
      </c>
      <c r="E40" t="s">
        <v>62</v>
      </c>
      <c r="F40" t="s">
        <v>62</v>
      </c>
      <c r="G40" t="s">
        <v>62</v>
      </c>
      <c r="H40" t="s">
        <v>62</v>
      </c>
      <c r="I40" t="s">
        <v>62</v>
      </c>
    </row>
    <row r="41" spans="1:15" x14ac:dyDescent="0.2">
      <c r="A41" s="29">
        <v>45865</v>
      </c>
      <c r="B41" t="s">
        <v>69</v>
      </c>
      <c r="C41" t="s">
        <v>59</v>
      </c>
      <c r="D41">
        <v>33</v>
      </c>
      <c r="E41">
        <v>19</v>
      </c>
      <c r="F41">
        <v>17</v>
      </c>
      <c r="G41">
        <v>16</v>
      </c>
      <c r="H41">
        <v>6</v>
      </c>
      <c r="I41">
        <v>17</v>
      </c>
    </row>
    <row r="42" spans="1:15" x14ac:dyDescent="0.2">
      <c r="A42" s="29">
        <v>45865</v>
      </c>
      <c r="B42" t="s">
        <v>69</v>
      </c>
      <c r="C42" t="s">
        <v>60</v>
      </c>
      <c r="D42" t="s">
        <v>62</v>
      </c>
      <c r="E42" t="s">
        <v>62</v>
      </c>
      <c r="F42" t="s">
        <v>62</v>
      </c>
      <c r="G42" t="s">
        <v>62</v>
      </c>
      <c r="H42" t="s">
        <v>62</v>
      </c>
      <c r="I42" t="s">
        <v>62</v>
      </c>
    </row>
    <row r="43" spans="1:15" x14ac:dyDescent="0.2">
      <c r="A43" s="29">
        <v>45865</v>
      </c>
      <c r="B43" t="s">
        <v>69</v>
      </c>
      <c r="C43" t="s">
        <v>61</v>
      </c>
      <c r="D43">
        <v>26</v>
      </c>
      <c r="E43">
        <v>29</v>
      </c>
      <c r="F43">
        <v>36</v>
      </c>
      <c r="G43">
        <v>24</v>
      </c>
      <c r="H43">
        <v>19</v>
      </c>
      <c r="I43">
        <v>29</v>
      </c>
    </row>
    <row r="44" spans="1:15" x14ac:dyDescent="0.2">
      <c r="A44" s="29">
        <v>45866</v>
      </c>
      <c r="B44" t="s">
        <v>63</v>
      </c>
      <c r="C44" t="s">
        <v>59</v>
      </c>
      <c r="D44">
        <v>33</v>
      </c>
      <c r="E44">
        <v>19</v>
      </c>
      <c r="F44">
        <v>17</v>
      </c>
      <c r="G44">
        <v>16</v>
      </c>
      <c r="H44">
        <v>6</v>
      </c>
      <c r="I44">
        <v>17</v>
      </c>
    </row>
    <row r="45" spans="1:15" x14ac:dyDescent="0.2">
      <c r="A45" s="29">
        <v>45866</v>
      </c>
      <c r="B45" t="s">
        <v>63</v>
      </c>
      <c r="C45" t="s">
        <v>60</v>
      </c>
      <c r="D45" t="s">
        <v>62</v>
      </c>
      <c r="E45" t="s">
        <v>62</v>
      </c>
      <c r="F45" t="s">
        <v>62</v>
      </c>
      <c r="G45" t="s">
        <v>62</v>
      </c>
      <c r="H45" t="s">
        <v>62</v>
      </c>
      <c r="I45" t="s">
        <v>62</v>
      </c>
    </row>
    <row r="46" spans="1:15" x14ac:dyDescent="0.2">
      <c r="A46" s="29">
        <v>45866</v>
      </c>
      <c r="B46" t="s">
        <v>63</v>
      </c>
      <c r="C46" t="s">
        <v>61</v>
      </c>
      <c r="D46">
        <v>26</v>
      </c>
      <c r="E46">
        <v>29</v>
      </c>
      <c r="F46">
        <v>36</v>
      </c>
      <c r="G46">
        <v>24</v>
      </c>
      <c r="H46">
        <v>19</v>
      </c>
      <c r="I46">
        <v>29</v>
      </c>
    </row>
    <row r="47" spans="1:15" x14ac:dyDescent="0.2">
      <c r="A47" s="29">
        <v>45867</v>
      </c>
      <c r="B47" t="s">
        <v>64</v>
      </c>
      <c r="C47" t="s">
        <v>59</v>
      </c>
      <c r="D47">
        <v>33</v>
      </c>
      <c r="E47">
        <v>28</v>
      </c>
      <c r="F47">
        <v>25</v>
      </c>
      <c r="G47">
        <v>24</v>
      </c>
      <c r="H47">
        <v>26</v>
      </c>
      <c r="I47">
        <v>25</v>
      </c>
    </row>
    <row r="48" spans="1:15" x14ac:dyDescent="0.2">
      <c r="A48" s="29">
        <v>45867</v>
      </c>
      <c r="B48" t="s">
        <v>64</v>
      </c>
      <c r="C48" t="s">
        <v>60</v>
      </c>
      <c r="D48">
        <v>30</v>
      </c>
      <c r="E48">
        <v>17</v>
      </c>
      <c r="F48">
        <v>14</v>
      </c>
      <c r="G48">
        <v>13</v>
      </c>
      <c r="H48">
        <v>9</v>
      </c>
      <c r="I48">
        <v>14</v>
      </c>
    </row>
    <row r="49" spans="1:9" x14ac:dyDescent="0.2">
      <c r="A49" s="29">
        <v>45867</v>
      </c>
      <c r="B49" t="s">
        <v>64</v>
      </c>
      <c r="C49" t="s">
        <v>61</v>
      </c>
      <c r="D49">
        <v>29</v>
      </c>
      <c r="E49">
        <v>30</v>
      </c>
      <c r="F49">
        <v>29</v>
      </c>
      <c r="G49">
        <v>25</v>
      </c>
      <c r="H49">
        <v>9</v>
      </c>
      <c r="I49">
        <v>29</v>
      </c>
    </row>
    <row r="50" spans="1:9" x14ac:dyDescent="0.2">
      <c r="A50" s="29">
        <v>45868</v>
      </c>
      <c r="B50" t="s">
        <v>65</v>
      </c>
      <c r="C50" t="s">
        <v>59</v>
      </c>
      <c r="D50">
        <v>33</v>
      </c>
      <c r="E50">
        <v>24</v>
      </c>
      <c r="F50">
        <v>21</v>
      </c>
      <c r="G50">
        <v>21</v>
      </c>
      <c r="H50">
        <v>15</v>
      </c>
      <c r="I50">
        <v>21</v>
      </c>
    </row>
    <row r="51" spans="1:9" x14ac:dyDescent="0.2">
      <c r="A51" s="29">
        <v>45868</v>
      </c>
      <c r="B51" t="s">
        <v>65</v>
      </c>
      <c r="C51" t="s">
        <v>60</v>
      </c>
      <c r="D51">
        <v>24</v>
      </c>
      <c r="E51">
        <v>15</v>
      </c>
      <c r="F51">
        <v>15</v>
      </c>
      <c r="G51">
        <v>15</v>
      </c>
      <c r="H51">
        <v>14</v>
      </c>
      <c r="I51">
        <v>15</v>
      </c>
    </row>
    <row r="52" spans="1:9" x14ac:dyDescent="0.2">
      <c r="A52" s="29">
        <v>45868</v>
      </c>
      <c r="B52" t="s">
        <v>65</v>
      </c>
      <c r="C52" t="s">
        <v>61</v>
      </c>
      <c r="D52">
        <v>32</v>
      </c>
      <c r="E52">
        <v>31</v>
      </c>
      <c r="F52">
        <v>30</v>
      </c>
      <c r="G52">
        <v>26</v>
      </c>
      <c r="H52">
        <v>11</v>
      </c>
      <c r="I52">
        <v>30</v>
      </c>
    </row>
    <row r="53" spans="1:9" x14ac:dyDescent="0.2">
      <c r="A53" s="29">
        <v>45869</v>
      </c>
      <c r="B53" t="s">
        <v>66</v>
      </c>
      <c r="C53" t="s">
        <v>59</v>
      </c>
      <c r="D53">
        <v>33</v>
      </c>
      <c r="E53">
        <v>24</v>
      </c>
      <c r="F53">
        <v>21</v>
      </c>
      <c r="G53">
        <v>21</v>
      </c>
      <c r="H53">
        <v>15</v>
      </c>
      <c r="I53">
        <v>21</v>
      </c>
    </row>
    <row r="54" spans="1:9" x14ac:dyDescent="0.2">
      <c r="A54" s="29">
        <v>45869</v>
      </c>
      <c r="B54" t="s">
        <v>66</v>
      </c>
      <c r="C54" t="s">
        <v>60</v>
      </c>
      <c r="D54">
        <v>24</v>
      </c>
      <c r="E54">
        <v>15</v>
      </c>
      <c r="F54">
        <v>15</v>
      </c>
      <c r="G54">
        <v>15</v>
      </c>
      <c r="H54">
        <v>14</v>
      </c>
      <c r="I54">
        <v>15</v>
      </c>
    </row>
    <row r="55" spans="1:9" x14ac:dyDescent="0.2">
      <c r="A55" s="29">
        <v>45869</v>
      </c>
      <c r="B55" t="s">
        <v>66</v>
      </c>
      <c r="C55" t="s">
        <v>61</v>
      </c>
      <c r="D55">
        <v>32</v>
      </c>
      <c r="E55">
        <v>31</v>
      </c>
      <c r="F55">
        <v>30</v>
      </c>
      <c r="G55">
        <v>26</v>
      </c>
      <c r="H55">
        <v>11</v>
      </c>
      <c r="I55">
        <v>30</v>
      </c>
    </row>
    <row r="56" spans="1:9" x14ac:dyDescent="0.2">
      <c r="A56" s="29">
        <v>45870</v>
      </c>
      <c r="B56" t="s">
        <v>67</v>
      </c>
      <c r="C56" t="s">
        <v>59</v>
      </c>
      <c r="D56">
        <v>33</v>
      </c>
      <c r="E56">
        <v>27</v>
      </c>
      <c r="F56">
        <v>25</v>
      </c>
      <c r="G56">
        <v>22</v>
      </c>
      <c r="H56">
        <v>18</v>
      </c>
      <c r="I56">
        <v>25</v>
      </c>
    </row>
    <row r="57" spans="1:9" x14ac:dyDescent="0.2">
      <c r="A57" s="29">
        <v>45870</v>
      </c>
      <c r="B57" t="s">
        <v>67</v>
      </c>
      <c r="C57" t="s">
        <v>60</v>
      </c>
      <c r="D57">
        <v>30</v>
      </c>
      <c r="E57">
        <v>15</v>
      </c>
      <c r="F57">
        <v>15</v>
      </c>
      <c r="G57">
        <v>15</v>
      </c>
      <c r="H57">
        <v>14</v>
      </c>
      <c r="I57">
        <v>15</v>
      </c>
    </row>
    <row r="58" spans="1:9" x14ac:dyDescent="0.2">
      <c r="A58" s="29">
        <v>45870</v>
      </c>
      <c r="B58" t="s">
        <v>67</v>
      </c>
      <c r="C58" t="s">
        <v>61</v>
      </c>
      <c r="D58">
        <v>34</v>
      </c>
      <c r="E58">
        <v>30</v>
      </c>
      <c r="F58">
        <v>26</v>
      </c>
      <c r="G58">
        <v>25</v>
      </c>
      <c r="H58">
        <v>15</v>
      </c>
      <c r="I58">
        <v>26</v>
      </c>
    </row>
    <row r="59" spans="1:9" x14ac:dyDescent="0.2">
      <c r="A59" s="29">
        <v>45871</v>
      </c>
      <c r="B59" t="s">
        <v>68</v>
      </c>
      <c r="C59" t="s">
        <v>59</v>
      </c>
      <c r="D59">
        <v>33</v>
      </c>
      <c r="E59">
        <v>25</v>
      </c>
      <c r="F59">
        <v>22</v>
      </c>
      <c r="G59">
        <v>20</v>
      </c>
      <c r="H59">
        <v>11</v>
      </c>
      <c r="I59">
        <v>22</v>
      </c>
    </row>
    <row r="60" spans="1:9" x14ac:dyDescent="0.2">
      <c r="A60" s="29">
        <v>45871</v>
      </c>
      <c r="B60" t="s">
        <v>68</v>
      </c>
      <c r="C60" t="s">
        <v>60</v>
      </c>
      <c r="D60">
        <v>29</v>
      </c>
      <c r="E60">
        <v>14</v>
      </c>
      <c r="F60">
        <v>14</v>
      </c>
      <c r="G60">
        <v>14</v>
      </c>
      <c r="H60">
        <v>5</v>
      </c>
      <c r="I60">
        <v>14</v>
      </c>
    </row>
    <row r="61" spans="1:9" x14ac:dyDescent="0.2">
      <c r="A61" s="29">
        <v>45871</v>
      </c>
      <c r="B61" t="s">
        <v>68</v>
      </c>
      <c r="C61" t="s">
        <v>61</v>
      </c>
      <c r="D61" t="s">
        <v>62</v>
      </c>
      <c r="E61" t="s">
        <v>62</v>
      </c>
      <c r="F61" t="s">
        <v>62</v>
      </c>
      <c r="G61" t="s">
        <v>62</v>
      </c>
      <c r="H61" t="s">
        <v>62</v>
      </c>
      <c r="I61" t="s">
        <v>62</v>
      </c>
    </row>
    <row r="62" spans="1:9" x14ac:dyDescent="0.2">
      <c r="A62" s="29">
        <v>45872</v>
      </c>
      <c r="B62" t="s">
        <v>69</v>
      </c>
      <c r="C62" t="s">
        <v>59</v>
      </c>
      <c r="D62">
        <v>33</v>
      </c>
      <c r="E62">
        <v>20</v>
      </c>
      <c r="F62">
        <v>18</v>
      </c>
      <c r="G62">
        <v>16</v>
      </c>
      <c r="H62">
        <v>9</v>
      </c>
      <c r="I62">
        <v>18</v>
      </c>
    </row>
    <row r="63" spans="1:9" x14ac:dyDescent="0.2">
      <c r="A63" s="29">
        <v>45872</v>
      </c>
      <c r="B63" t="s">
        <v>69</v>
      </c>
      <c r="C63" t="s">
        <v>60</v>
      </c>
      <c r="D63" t="s">
        <v>62</v>
      </c>
      <c r="E63" t="s">
        <v>62</v>
      </c>
      <c r="F63" t="s">
        <v>62</v>
      </c>
      <c r="G63" t="s">
        <v>62</v>
      </c>
      <c r="H63" t="s">
        <v>62</v>
      </c>
      <c r="I63" t="s">
        <v>62</v>
      </c>
    </row>
    <row r="64" spans="1:9" x14ac:dyDescent="0.2">
      <c r="A64" s="29">
        <v>45872</v>
      </c>
      <c r="B64" t="s">
        <v>69</v>
      </c>
      <c r="C64" t="s">
        <v>61</v>
      </c>
      <c r="D64">
        <v>31</v>
      </c>
      <c r="E64">
        <v>26</v>
      </c>
      <c r="F64">
        <v>25</v>
      </c>
      <c r="G64">
        <v>23</v>
      </c>
      <c r="H64">
        <v>13</v>
      </c>
      <c r="I64">
        <v>25</v>
      </c>
    </row>
    <row r="65" spans="1:9" x14ac:dyDescent="0.2">
      <c r="A65" s="29">
        <v>45873</v>
      </c>
      <c r="B65" t="s">
        <v>63</v>
      </c>
      <c r="C65" t="s">
        <v>59</v>
      </c>
      <c r="D65">
        <v>29</v>
      </c>
      <c r="E65">
        <v>30</v>
      </c>
      <c r="F65">
        <v>29</v>
      </c>
      <c r="G65">
        <v>25</v>
      </c>
      <c r="H65">
        <v>16</v>
      </c>
      <c r="I65">
        <v>29</v>
      </c>
    </row>
    <row r="66" spans="1:9" x14ac:dyDescent="0.2">
      <c r="A66" s="29">
        <v>45873</v>
      </c>
      <c r="B66" t="s">
        <v>63</v>
      </c>
      <c r="C66" t="s">
        <v>60</v>
      </c>
      <c r="D66">
        <v>25</v>
      </c>
      <c r="E66">
        <v>17</v>
      </c>
      <c r="F66">
        <v>16</v>
      </c>
      <c r="G66">
        <v>15</v>
      </c>
      <c r="H66">
        <v>6</v>
      </c>
      <c r="I66">
        <v>16</v>
      </c>
    </row>
    <row r="67" spans="1:9" x14ac:dyDescent="0.2">
      <c r="A67" s="29">
        <v>45873</v>
      </c>
      <c r="B67" t="s">
        <v>63</v>
      </c>
      <c r="C67" t="s">
        <v>61</v>
      </c>
      <c r="D67">
        <v>28</v>
      </c>
      <c r="E67">
        <v>28</v>
      </c>
      <c r="F67">
        <v>27</v>
      </c>
      <c r="G67">
        <v>25</v>
      </c>
      <c r="H67">
        <v>9</v>
      </c>
      <c r="I67">
        <v>27</v>
      </c>
    </row>
    <row r="68" spans="1:9" x14ac:dyDescent="0.2">
      <c r="A68" s="29">
        <v>45874</v>
      </c>
      <c r="B68" t="s">
        <v>64</v>
      </c>
      <c r="C68" t="s">
        <v>59</v>
      </c>
      <c r="D68">
        <v>33</v>
      </c>
      <c r="E68">
        <v>29</v>
      </c>
      <c r="F68">
        <v>26</v>
      </c>
      <c r="G68">
        <v>23</v>
      </c>
      <c r="H68">
        <v>20</v>
      </c>
      <c r="I68">
        <v>26</v>
      </c>
    </row>
    <row r="69" spans="1:9" x14ac:dyDescent="0.2">
      <c r="A69" s="29">
        <v>45874</v>
      </c>
      <c r="B69" t="s">
        <v>64</v>
      </c>
      <c r="C69" t="s">
        <v>60</v>
      </c>
      <c r="D69">
        <v>23</v>
      </c>
      <c r="E69">
        <v>17</v>
      </c>
      <c r="F69">
        <v>15</v>
      </c>
      <c r="G69">
        <v>13</v>
      </c>
      <c r="H69">
        <v>8</v>
      </c>
      <c r="I69">
        <v>15</v>
      </c>
    </row>
    <row r="70" spans="1:9" x14ac:dyDescent="0.2">
      <c r="A70" s="29">
        <v>45874</v>
      </c>
      <c r="B70" t="s">
        <v>64</v>
      </c>
      <c r="C70" t="s">
        <v>61</v>
      </c>
      <c r="D70">
        <v>29</v>
      </c>
      <c r="E70">
        <v>27</v>
      </c>
      <c r="F70">
        <v>27</v>
      </c>
      <c r="G70">
        <v>24</v>
      </c>
      <c r="H70">
        <v>7</v>
      </c>
      <c r="I70">
        <v>27</v>
      </c>
    </row>
    <row r="71" spans="1:9" x14ac:dyDescent="0.2">
      <c r="A71" s="29">
        <v>45875</v>
      </c>
      <c r="B71" t="s">
        <v>65</v>
      </c>
      <c r="C71" t="s">
        <v>59</v>
      </c>
      <c r="D71">
        <v>34</v>
      </c>
      <c r="E71">
        <v>29</v>
      </c>
      <c r="F71">
        <v>26</v>
      </c>
      <c r="G71">
        <v>25</v>
      </c>
      <c r="H71">
        <v>21</v>
      </c>
      <c r="I71">
        <v>26</v>
      </c>
    </row>
    <row r="72" spans="1:9" x14ac:dyDescent="0.2">
      <c r="A72" s="29">
        <v>45875</v>
      </c>
      <c r="B72" t="s">
        <v>65</v>
      </c>
      <c r="C72" t="s">
        <v>60</v>
      </c>
      <c r="D72">
        <v>25</v>
      </c>
      <c r="E72">
        <v>15</v>
      </c>
      <c r="F72">
        <v>16</v>
      </c>
      <c r="G72">
        <v>13</v>
      </c>
      <c r="H72">
        <v>9</v>
      </c>
      <c r="I72">
        <v>15</v>
      </c>
    </row>
    <row r="73" spans="1:9" x14ac:dyDescent="0.2">
      <c r="A73" s="29">
        <v>45875</v>
      </c>
      <c r="B73" t="s">
        <v>65</v>
      </c>
      <c r="C73" t="s">
        <v>61</v>
      </c>
      <c r="D73">
        <v>30</v>
      </c>
      <c r="E73">
        <v>26</v>
      </c>
      <c r="F73">
        <v>30</v>
      </c>
      <c r="G73">
        <v>28</v>
      </c>
      <c r="H73">
        <v>10</v>
      </c>
      <c r="I73">
        <v>26</v>
      </c>
    </row>
    <row r="74" spans="1:9" x14ac:dyDescent="0.2">
      <c r="A74" s="29">
        <v>45876</v>
      </c>
      <c r="B74" t="s">
        <v>66</v>
      </c>
      <c r="C74" t="s">
        <v>59</v>
      </c>
      <c r="D74">
        <v>33</v>
      </c>
      <c r="E74">
        <v>24</v>
      </c>
      <c r="F74">
        <v>21</v>
      </c>
      <c r="G74">
        <v>21</v>
      </c>
      <c r="H74">
        <v>18</v>
      </c>
      <c r="I74">
        <v>21</v>
      </c>
    </row>
    <row r="75" spans="1:9" x14ac:dyDescent="0.2">
      <c r="A75" s="29">
        <v>45876</v>
      </c>
      <c r="B75" t="s">
        <v>66</v>
      </c>
      <c r="C75" t="s">
        <v>60</v>
      </c>
      <c r="D75">
        <v>30</v>
      </c>
      <c r="E75">
        <v>16</v>
      </c>
      <c r="F75">
        <v>16</v>
      </c>
      <c r="G75">
        <v>15</v>
      </c>
      <c r="H75">
        <v>8</v>
      </c>
      <c r="I75">
        <v>16</v>
      </c>
    </row>
    <row r="76" spans="1:9" x14ac:dyDescent="0.2">
      <c r="A76" s="29">
        <v>45876</v>
      </c>
      <c r="B76" t="s">
        <v>66</v>
      </c>
      <c r="C76" t="s">
        <v>61</v>
      </c>
      <c r="D76">
        <v>30</v>
      </c>
      <c r="E76">
        <v>29</v>
      </c>
      <c r="F76">
        <v>33</v>
      </c>
      <c r="G76">
        <v>28</v>
      </c>
      <c r="H76">
        <v>14</v>
      </c>
      <c r="I76">
        <v>29</v>
      </c>
    </row>
    <row r="77" spans="1:9" x14ac:dyDescent="0.2">
      <c r="A77" s="29">
        <v>45877</v>
      </c>
      <c r="B77" t="s">
        <v>67</v>
      </c>
      <c r="C77" t="s">
        <v>59</v>
      </c>
      <c r="D77">
        <v>34</v>
      </c>
      <c r="E77">
        <v>27</v>
      </c>
      <c r="F77">
        <v>26</v>
      </c>
      <c r="G77">
        <v>22</v>
      </c>
      <c r="H77">
        <v>11</v>
      </c>
      <c r="I77">
        <v>26</v>
      </c>
    </row>
    <row r="78" spans="1:9" x14ac:dyDescent="0.2">
      <c r="A78" s="29">
        <v>45877</v>
      </c>
      <c r="B78" t="s">
        <v>67</v>
      </c>
      <c r="C78" t="s">
        <v>60</v>
      </c>
      <c r="D78">
        <v>31</v>
      </c>
      <c r="E78">
        <v>14</v>
      </c>
      <c r="F78">
        <v>15</v>
      </c>
      <c r="G78">
        <v>14</v>
      </c>
      <c r="H78">
        <v>3</v>
      </c>
      <c r="I78">
        <v>14</v>
      </c>
    </row>
    <row r="79" spans="1:9" x14ac:dyDescent="0.2">
      <c r="A79" s="29">
        <v>45877</v>
      </c>
      <c r="B79" t="s">
        <v>67</v>
      </c>
      <c r="C79" t="s">
        <v>61</v>
      </c>
      <c r="D79">
        <v>37</v>
      </c>
      <c r="E79">
        <v>29</v>
      </c>
      <c r="F79">
        <v>33</v>
      </c>
      <c r="G79">
        <v>24</v>
      </c>
      <c r="H79">
        <v>13</v>
      </c>
      <c r="I79">
        <v>29</v>
      </c>
    </row>
    <row r="80" spans="1:9" x14ac:dyDescent="0.2">
      <c r="A80" s="29">
        <v>45878</v>
      </c>
      <c r="B80" t="s">
        <v>68</v>
      </c>
      <c r="C80" t="s">
        <v>59</v>
      </c>
      <c r="D80">
        <v>33</v>
      </c>
      <c r="E80">
        <v>25</v>
      </c>
      <c r="F80">
        <v>23</v>
      </c>
      <c r="G80">
        <v>22</v>
      </c>
      <c r="H80">
        <v>12</v>
      </c>
      <c r="I80">
        <v>23</v>
      </c>
    </row>
    <row r="81" spans="1:9" x14ac:dyDescent="0.2">
      <c r="A81" s="29">
        <v>45878</v>
      </c>
      <c r="B81" t="s">
        <v>68</v>
      </c>
      <c r="C81" t="s">
        <v>60</v>
      </c>
      <c r="D81">
        <v>29</v>
      </c>
      <c r="E81">
        <v>11</v>
      </c>
      <c r="F81">
        <v>11</v>
      </c>
      <c r="G81">
        <v>12</v>
      </c>
      <c r="H81">
        <v>3</v>
      </c>
      <c r="I81">
        <v>11</v>
      </c>
    </row>
    <row r="82" spans="1:9" x14ac:dyDescent="0.2">
      <c r="A82" s="29">
        <v>45878</v>
      </c>
      <c r="B82" t="s">
        <v>68</v>
      </c>
      <c r="C82" t="s">
        <v>61</v>
      </c>
      <c r="D82" t="s">
        <v>62</v>
      </c>
      <c r="E82" t="s">
        <v>62</v>
      </c>
      <c r="F82" t="s">
        <v>62</v>
      </c>
      <c r="G82" t="s">
        <v>62</v>
      </c>
      <c r="H82" t="s">
        <v>62</v>
      </c>
      <c r="I82" t="s">
        <v>62</v>
      </c>
    </row>
    <row r="83" spans="1:9" x14ac:dyDescent="0.2">
      <c r="A83" s="29">
        <v>45879</v>
      </c>
      <c r="B83" t="s">
        <v>69</v>
      </c>
      <c r="C83" t="s">
        <v>59</v>
      </c>
      <c r="D83">
        <v>31</v>
      </c>
      <c r="E83">
        <v>18</v>
      </c>
      <c r="F83">
        <v>16</v>
      </c>
      <c r="G83">
        <v>15</v>
      </c>
      <c r="H83">
        <v>12</v>
      </c>
      <c r="I83">
        <v>16</v>
      </c>
    </row>
    <row r="84" spans="1:9" x14ac:dyDescent="0.2">
      <c r="A84" s="29">
        <v>45879</v>
      </c>
      <c r="B84" t="s">
        <v>69</v>
      </c>
      <c r="C84" t="s">
        <v>60</v>
      </c>
      <c r="D84" t="s">
        <v>62</v>
      </c>
      <c r="E84" t="s">
        <v>62</v>
      </c>
      <c r="F84" t="s">
        <v>62</v>
      </c>
      <c r="G84" t="s">
        <v>62</v>
      </c>
      <c r="H84" t="s">
        <v>62</v>
      </c>
      <c r="I84" t="s">
        <v>62</v>
      </c>
    </row>
    <row r="85" spans="1:9" x14ac:dyDescent="0.2">
      <c r="A85" s="29">
        <v>45879</v>
      </c>
      <c r="B85" t="s">
        <v>69</v>
      </c>
      <c r="C85" t="s">
        <v>61</v>
      </c>
      <c r="D85">
        <v>37</v>
      </c>
      <c r="E85">
        <v>27</v>
      </c>
      <c r="F85">
        <v>31</v>
      </c>
      <c r="G85">
        <v>24</v>
      </c>
      <c r="H85">
        <v>18</v>
      </c>
      <c r="I85">
        <v>27</v>
      </c>
    </row>
    <row r="86" spans="1:9" x14ac:dyDescent="0.2">
      <c r="A86" s="29">
        <v>45880</v>
      </c>
      <c r="B86" t="s">
        <v>63</v>
      </c>
      <c r="C86" t="s">
        <v>59</v>
      </c>
      <c r="D86">
        <v>33</v>
      </c>
      <c r="E86">
        <v>26</v>
      </c>
      <c r="F86">
        <v>24</v>
      </c>
      <c r="G86">
        <v>22</v>
      </c>
      <c r="H86">
        <v>17</v>
      </c>
      <c r="I86">
        <v>24</v>
      </c>
    </row>
    <row r="87" spans="1:9" x14ac:dyDescent="0.2">
      <c r="A87" s="29">
        <v>45880</v>
      </c>
      <c r="B87" t="s">
        <v>63</v>
      </c>
      <c r="C87" t="s">
        <v>60</v>
      </c>
      <c r="D87">
        <v>26</v>
      </c>
      <c r="E87">
        <v>17</v>
      </c>
      <c r="F87">
        <v>15</v>
      </c>
      <c r="G87">
        <v>15</v>
      </c>
      <c r="H87">
        <v>5</v>
      </c>
      <c r="I87">
        <v>15</v>
      </c>
    </row>
    <row r="88" spans="1:9" x14ac:dyDescent="0.2">
      <c r="A88" s="29">
        <v>45880</v>
      </c>
      <c r="B88" t="s">
        <v>63</v>
      </c>
      <c r="C88" t="s">
        <v>61</v>
      </c>
      <c r="D88" t="s">
        <v>62</v>
      </c>
      <c r="E88" t="s">
        <v>62</v>
      </c>
      <c r="F88" t="s">
        <v>62</v>
      </c>
      <c r="G88" t="s">
        <v>62</v>
      </c>
      <c r="H88" t="s">
        <v>62</v>
      </c>
      <c r="I88" t="s">
        <v>62</v>
      </c>
    </row>
    <row r="89" spans="1:9" x14ac:dyDescent="0.2">
      <c r="A89" s="29">
        <v>45881</v>
      </c>
      <c r="B89" t="s">
        <v>64</v>
      </c>
      <c r="C89" t="s">
        <v>59</v>
      </c>
      <c r="D89" t="s">
        <v>62</v>
      </c>
      <c r="E89" t="s">
        <v>62</v>
      </c>
      <c r="F89" t="s">
        <v>62</v>
      </c>
      <c r="G89" t="s">
        <v>62</v>
      </c>
      <c r="H89" t="s">
        <v>62</v>
      </c>
      <c r="I89" t="s">
        <v>62</v>
      </c>
    </row>
    <row r="90" spans="1:9" x14ac:dyDescent="0.2">
      <c r="A90" s="29">
        <v>45881</v>
      </c>
      <c r="B90" t="s">
        <v>64</v>
      </c>
      <c r="C90" t="s">
        <v>60</v>
      </c>
      <c r="D90" t="s">
        <v>62</v>
      </c>
      <c r="E90" t="s">
        <v>62</v>
      </c>
      <c r="F90" t="s">
        <v>62</v>
      </c>
      <c r="G90" t="s">
        <v>62</v>
      </c>
      <c r="H90" t="s">
        <v>62</v>
      </c>
      <c r="I90" t="s">
        <v>62</v>
      </c>
    </row>
    <row r="91" spans="1:9" x14ac:dyDescent="0.2">
      <c r="A91" s="29">
        <v>45881</v>
      </c>
      <c r="B91" t="s">
        <v>64</v>
      </c>
      <c r="C91" t="s">
        <v>61</v>
      </c>
      <c r="D91">
        <v>31</v>
      </c>
      <c r="E91">
        <v>30</v>
      </c>
      <c r="F91">
        <v>30</v>
      </c>
      <c r="G91">
        <v>24</v>
      </c>
      <c r="H91">
        <v>23</v>
      </c>
      <c r="I91">
        <v>30</v>
      </c>
    </row>
    <row r="92" spans="1:9" x14ac:dyDescent="0.2">
      <c r="A92" s="29">
        <v>45882</v>
      </c>
      <c r="B92" t="s">
        <v>65</v>
      </c>
      <c r="C92" t="s">
        <v>59</v>
      </c>
      <c r="D92">
        <v>33</v>
      </c>
      <c r="E92">
        <v>26</v>
      </c>
      <c r="F92">
        <v>24</v>
      </c>
      <c r="G92">
        <v>24</v>
      </c>
      <c r="H92">
        <v>18</v>
      </c>
      <c r="I92">
        <v>24</v>
      </c>
    </row>
    <row r="93" spans="1:9" x14ac:dyDescent="0.2">
      <c r="A93" s="29">
        <v>45882</v>
      </c>
      <c r="B93" t="s">
        <v>65</v>
      </c>
      <c r="C93" t="s">
        <v>60</v>
      </c>
      <c r="D93">
        <v>24</v>
      </c>
      <c r="E93">
        <v>16</v>
      </c>
      <c r="F93">
        <v>16</v>
      </c>
      <c r="G93">
        <v>16</v>
      </c>
      <c r="H93">
        <v>8</v>
      </c>
      <c r="I93">
        <v>16</v>
      </c>
    </row>
    <row r="94" spans="1:9" x14ac:dyDescent="0.2">
      <c r="A94" s="29">
        <v>45882</v>
      </c>
      <c r="B94" t="s">
        <v>65</v>
      </c>
      <c r="C94" t="s">
        <v>61</v>
      </c>
      <c r="D94">
        <v>32</v>
      </c>
      <c r="E94">
        <v>32</v>
      </c>
      <c r="F94">
        <v>33</v>
      </c>
      <c r="G94">
        <v>28</v>
      </c>
      <c r="H94">
        <v>15</v>
      </c>
      <c r="I94">
        <v>32</v>
      </c>
    </row>
    <row r="95" spans="1:9" x14ac:dyDescent="0.2">
      <c r="A95" s="29">
        <v>45883</v>
      </c>
      <c r="B95" t="s">
        <v>66</v>
      </c>
      <c r="C95" t="s">
        <v>59</v>
      </c>
      <c r="D95">
        <v>33</v>
      </c>
      <c r="E95">
        <v>27</v>
      </c>
      <c r="F95">
        <v>24</v>
      </c>
      <c r="G95">
        <v>23</v>
      </c>
      <c r="H95">
        <v>17</v>
      </c>
      <c r="I95">
        <v>24</v>
      </c>
    </row>
    <row r="96" spans="1:9" x14ac:dyDescent="0.2">
      <c r="A96" s="29">
        <v>45883</v>
      </c>
      <c r="B96" t="s">
        <v>66</v>
      </c>
      <c r="C96" t="s">
        <v>60</v>
      </c>
      <c r="D96">
        <v>30</v>
      </c>
      <c r="E96">
        <v>16</v>
      </c>
      <c r="F96">
        <v>15</v>
      </c>
      <c r="G96">
        <v>15</v>
      </c>
      <c r="H96">
        <v>12</v>
      </c>
      <c r="I96">
        <v>15</v>
      </c>
    </row>
    <row r="97" spans="1:9" x14ac:dyDescent="0.2">
      <c r="A97" s="29">
        <v>45883</v>
      </c>
      <c r="B97" t="s">
        <v>66</v>
      </c>
      <c r="C97" t="s">
        <v>61</v>
      </c>
      <c r="D97">
        <v>32</v>
      </c>
      <c r="E97">
        <v>29</v>
      </c>
      <c r="F97">
        <v>36</v>
      </c>
      <c r="G97">
        <v>25</v>
      </c>
      <c r="H97">
        <v>22</v>
      </c>
      <c r="I97">
        <v>29</v>
      </c>
    </row>
    <row r="98" spans="1:9" x14ac:dyDescent="0.2">
      <c r="A98" s="29">
        <v>45884</v>
      </c>
      <c r="B98" t="s">
        <v>67</v>
      </c>
      <c r="C98" t="s">
        <v>59</v>
      </c>
      <c r="D98">
        <v>33</v>
      </c>
      <c r="E98">
        <v>30</v>
      </c>
      <c r="F98">
        <v>27</v>
      </c>
      <c r="G98">
        <v>26</v>
      </c>
      <c r="H98">
        <v>14</v>
      </c>
      <c r="I98">
        <v>27</v>
      </c>
    </row>
    <row r="99" spans="1:9" x14ac:dyDescent="0.2">
      <c r="A99" s="29">
        <v>45884</v>
      </c>
      <c r="B99" t="s">
        <v>67</v>
      </c>
      <c r="C99" t="s">
        <v>60</v>
      </c>
      <c r="D99">
        <v>24</v>
      </c>
      <c r="E99">
        <v>14</v>
      </c>
      <c r="F99">
        <v>13</v>
      </c>
      <c r="G99">
        <v>13</v>
      </c>
      <c r="H99">
        <v>6</v>
      </c>
      <c r="I99">
        <v>13</v>
      </c>
    </row>
    <row r="100" spans="1:9" x14ac:dyDescent="0.2">
      <c r="A100" s="29">
        <v>45884</v>
      </c>
      <c r="B100" t="s">
        <v>67</v>
      </c>
      <c r="C100" t="s">
        <v>61</v>
      </c>
      <c r="D100">
        <v>33</v>
      </c>
      <c r="E100">
        <v>31</v>
      </c>
      <c r="F100">
        <v>31</v>
      </c>
      <c r="G100">
        <v>27</v>
      </c>
      <c r="H100">
        <v>17</v>
      </c>
      <c r="I100">
        <v>31</v>
      </c>
    </row>
    <row r="101" spans="1:9" x14ac:dyDescent="0.2">
      <c r="A101" s="29">
        <v>45885</v>
      </c>
      <c r="B101" t="s">
        <v>68</v>
      </c>
      <c r="C101" t="s">
        <v>59</v>
      </c>
      <c r="D101">
        <v>33</v>
      </c>
      <c r="E101">
        <v>29</v>
      </c>
      <c r="F101">
        <v>27</v>
      </c>
      <c r="G101">
        <v>25</v>
      </c>
      <c r="H101">
        <v>23</v>
      </c>
      <c r="I101">
        <v>27</v>
      </c>
    </row>
    <row r="102" spans="1:9" x14ac:dyDescent="0.2">
      <c r="A102" s="29">
        <v>45885</v>
      </c>
      <c r="B102" t="s">
        <v>68</v>
      </c>
      <c r="C102" t="s">
        <v>60</v>
      </c>
      <c r="D102">
        <v>13</v>
      </c>
      <c r="E102">
        <v>13</v>
      </c>
      <c r="F102">
        <v>13</v>
      </c>
      <c r="G102">
        <v>13</v>
      </c>
      <c r="H102">
        <v>6</v>
      </c>
      <c r="I102">
        <v>13</v>
      </c>
    </row>
    <row r="103" spans="1:9" x14ac:dyDescent="0.2">
      <c r="A103" s="29">
        <v>45885</v>
      </c>
      <c r="B103" t="s">
        <v>68</v>
      </c>
      <c r="C103" t="s">
        <v>61</v>
      </c>
      <c r="D103" t="s">
        <v>62</v>
      </c>
      <c r="E103" t="s">
        <v>62</v>
      </c>
      <c r="F103" t="s">
        <v>62</v>
      </c>
      <c r="G103" t="s">
        <v>62</v>
      </c>
      <c r="H103" t="s">
        <v>62</v>
      </c>
      <c r="I103" t="s">
        <v>62</v>
      </c>
    </row>
    <row r="104" spans="1:9" x14ac:dyDescent="0.2">
      <c r="A104" s="29">
        <v>45886</v>
      </c>
      <c r="B104" t="s">
        <v>69</v>
      </c>
      <c r="C104" t="s">
        <v>59</v>
      </c>
      <c r="D104">
        <v>33</v>
      </c>
      <c r="E104">
        <v>24</v>
      </c>
      <c r="F104">
        <v>21</v>
      </c>
      <c r="G104">
        <v>16</v>
      </c>
      <c r="H104">
        <v>7</v>
      </c>
      <c r="I104">
        <v>21</v>
      </c>
    </row>
    <row r="105" spans="1:9" x14ac:dyDescent="0.2">
      <c r="A105" s="29">
        <v>45886</v>
      </c>
      <c r="B105" t="s">
        <v>69</v>
      </c>
      <c r="C105" t="s">
        <v>60</v>
      </c>
      <c r="D105" t="s">
        <v>62</v>
      </c>
      <c r="E105" t="s">
        <v>62</v>
      </c>
      <c r="F105" t="s">
        <v>62</v>
      </c>
      <c r="G105" t="s">
        <v>62</v>
      </c>
      <c r="H105" t="s">
        <v>62</v>
      </c>
      <c r="I105" t="s">
        <v>62</v>
      </c>
    </row>
    <row r="106" spans="1:9" x14ac:dyDescent="0.2">
      <c r="A106" s="29">
        <v>45886</v>
      </c>
      <c r="B106" t="s">
        <v>69</v>
      </c>
      <c r="C106" t="s">
        <v>61</v>
      </c>
      <c r="D106">
        <v>33</v>
      </c>
      <c r="E106">
        <v>25</v>
      </c>
      <c r="F106">
        <v>33</v>
      </c>
      <c r="G106">
        <v>22</v>
      </c>
      <c r="H106">
        <v>14</v>
      </c>
      <c r="I106">
        <v>25</v>
      </c>
    </row>
    <row r="107" spans="1:9" x14ac:dyDescent="0.2">
      <c r="A107" s="29">
        <v>45887</v>
      </c>
      <c r="B107" t="s">
        <v>63</v>
      </c>
      <c r="C107" t="s">
        <v>59</v>
      </c>
      <c r="D107">
        <v>33</v>
      </c>
      <c r="E107">
        <v>29</v>
      </c>
      <c r="F107">
        <v>26</v>
      </c>
      <c r="G107">
        <v>25</v>
      </c>
      <c r="H107">
        <v>23</v>
      </c>
      <c r="I107">
        <v>26</v>
      </c>
    </row>
    <row r="108" spans="1:9" x14ac:dyDescent="0.2">
      <c r="A108" s="29">
        <v>45887</v>
      </c>
      <c r="B108" t="s">
        <v>63</v>
      </c>
      <c r="C108" t="s">
        <v>60</v>
      </c>
      <c r="D108">
        <v>23</v>
      </c>
      <c r="E108">
        <v>16</v>
      </c>
      <c r="F108">
        <v>14</v>
      </c>
      <c r="G108">
        <v>14</v>
      </c>
      <c r="H108">
        <v>10</v>
      </c>
      <c r="I108">
        <v>14</v>
      </c>
    </row>
    <row r="109" spans="1:9" x14ac:dyDescent="0.2">
      <c r="A109" s="29">
        <v>45887</v>
      </c>
      <c r="B109" t="s">
        <v>63</v>
      </c>
      <c r="C109" t="s">
        <v>61</v>
      </c>
      <c r="D109">
        <v>34</v>
      </c>
      <c r="E109">
        <v>30</v>
      </c>
      <c r="F109">
        <v>29</v>
      </c>
      <c r="G109">
        <v>26</v>
      </c>
      <c r="H109">
        <v>11</v>
      </c>
      <c r="I109">
        <v>29</v>
      </c>
    </row>
    <row r="110" spans="1:9" x14ac:dyDescent="0.2">
      <c r="A110" s="29">
        <v>45888</v>
      </c>
      <c r="B110" t="s">
        <v>64</v>
      </c>
      <c r="C110" t="s">
        <v>59</v>
      </c>
      <c r="D110">
        <v>33</v>
      </c>
      <c r="E110">
        <v>25</v>
      </c>
      <c r="F110">
        <v>23</v>
      </c>
      <c r="G110">
        <v>22</v>
      </c>
      <c r="H110">
        <v>13</v>
      </c>
      <c r="I110">
        <v>23</v>
      </c>
    </row>
    <row r="111" spans="1:9" x14ac:dyDescent="0.2">
      <c r="A111" s="29">
        <v>45888</v>
      </c>
      <c r="B111" t="s">
        <v>64</v>
      </c>
      <c r="C111" t="s">
        <v>60</v>
      </c>
      <c r="D111">
        <v>32</v>
      </c>
      <c r="E111">
        <v>18</v>
      </c>
      <c r="F111">
        <v>15</v>
      </c>
      <c r="G111">
        <v>14</v>
      </c>
      <c r="H111">
        <v>9</v>
      </c>
      <c r="I111">
        <v>15</v>
      </c>
    </row>
    <row r="112" spans="1:9" x14ac:dyDescent="0.2">
      <c r="A112" s="29">
        <v>45888</v>
      </c>
      <c r="B112" t="s">
        <v>64</v>
      </c>
      <c r="C112" t="s">
        <v>61</v>
      </c>
      <c r="D112">
        <v>34</v>
      </c>
      <c r="E112">
        <v>27</v>
      </c>
      <c r="F112">
        <v>23</v>
      </c>
      <c r="G112">
        <v>21</v>
      </c>
      <c r="H112">
        <v>13</v>
      </c>
      <c r="I112">
        <v>23</v>
      </c>
    </row>
    <row r="113" spans="1:9" x14ac:dyDescent="0.2">
      <c r="A113" s="29">
        <v>45889</v>
      </c>
      <c r="B113" t="s">
        <v>65</v>
      </c>
      <c r="C113" t="s">
        <v>59</v>
      </c>
      <c r="D113">
        <v>31</v>
      </c>
      <c r="E113">
        <v>26</v>
      </c>
      <c r="F113">
        <v>22</v>
      </c>
      <c r="G113">
        <v>20</v>
      </c>
      <c r="H113">
        <v>13</v>
      </c>
      <c r="I113">
        <v>22</v>
      </c>
    </row>
    <row r="114" spans="1:9" x14ac:dyDescent="0.2">
      <c r="A114" s="29">
        <v>45889</v>
      </c>
      <c r="B114" t="s">
        <v>65</v>
      </c>
      <c r="C114" t="s">
        <v>60</v>
      </c>
      <c r="D114">
        <v>31</v>
      </c>
      <c r="E114">
        <v>17</v>
      </c>
      <c r="F114">
        <v>16</v>
      </c>
      <c r="G114">
        <v>15</v>
      </c>
      <c r="H114">
        <v>8</v>
      </c>
      <c r="I114">
        <v>16</v>
      </c>
    </row>
    <row r="115" spans="1:9" x14ac:dyDescent="0.2">
      <c r="A115" s="29">
        <v>45889</v>
      </c>
      <c r="B115" t="s">
        <v>65</v>
      </c>
      <c r="C115" t="s">
        <v>61</v>
      </c>
      <c r="D115">
        <v>32</v>
      </c>
      <c r="E115">
        <v>30</v>
      </c>
      <c r="F115">
        <v>29</v>
      </c>
      <c r="G115">
        <v>26</v>
      </c>
      <c r="H115">
        <v>13</v>
      </c>
      <c r="I115">
        <v>29</v>
      </c>
    </row>
    <row r="116" spans="1:9" x14ac:dyDescent="0.2">
      <c r="A116" s="29">
        <v>45890</v>
      </c>
      <c r="B116" t="s">
        <v>66</v>
      </c>
      <c r="C116" t="s">
        <v>59</v>
      </c>
      <c r="D116">
        <v>33</v>
      </c>
      <c r="E116">
        <v>30</v>
      </c>
      <c r="F116">
        <v>27</v>
      </c>
      <c r="G116">
        <v>25</v>
      </c>
      <c r="H116">
        <v>14</v>
      </c>
      <c r="I116">
        <v>27</v>
      </c>
    </row>
    <row r="117" spans="1:9" x14ac:dyDescent="0.2">
      <c r="A117" s="29">
        <v>45890</v>
      </c>
      <c r="B117" t="s">
        <v>66</v>
      </c>
      <c r="C117" t="s">
        <v>60</v>
      </c>
      <c r="D117">
        <v>26</v>
      </c>
      <c r="E117">
        <v>18</v>
      </c>
      <c r="F117">
        <v>17</v>
      </c>
      <c r="G117">
        <v>15</v>
      </c>
      <c r="H117">
        <v>7</v>
      </c>
      <c r="I117">
        <v>17</v>
      </c>
    </row>
    <row r="118" spans="1:9" x14ac:dyDescent="0.2">
      <c r="A118" s="29">
        <v>45890</v>
      </c>
      <c r="B118" t="s">
        <v>66</v>
      </c>
      <c r="C118" t="s">
        <v>61</v>
      </c>
      <c r="D118">
        <v>32</v>
      </c>
      <c r="E118">
        <v>30</v>
      </c>
      <c r="F118">
        <v>29</v>
      </c>
      <c r="G118">
        <v>26</v>
      </c>
      <c r="H118">
        <v>13</v>
      </c>
      <c r="I118">
        <v>29</v>
      </c>
    </row>
    <row r="119" spans="1:9" x14ac:dyDescent="0.2">
      <c r="A119" s="29">
        <v>45891</v>
      </c>
      <c r="B119" t="s">
        <v>67</v>
      </c>
      <c r="C119" t="s">
        <v>59</v>
      </c>
      <c r="D119">
        <v>30</v>
      </c>
      <c r="E119">
        <v>29</v>
      </c>
      <c r="F119">
        <v>26</v>
      </c>
      <c r="G119">
        <v>25</v>
      </c>
      <c r="H119">
        <v>16</v>
      </c>
      <c r="I119">
        <v>26</v>
      </c>
    </row>
    <row r="120" spans="1:9" x14ac:dyDescent="0.2">
      <c r="A120" s="29">
        <v>45891</v>
      </c>
      <c r="B120" t="s">
        <v>67</v>
      </c>
      <c r="C120" t="s">
        <v>60</v>
      </c>
      <c r="D120">
        <v>29</v>
      </c>
      <c r="E120">
        <v>16</v>
      </c>
      <c r="F120">
        <v>15</v>
      </c>
      <c r="G120">
        <v>14</v>
      </c>
      <c r="H120">
        <v>11</v>
      </c>
      <c r="I120">
        <v>15</v>
      </c>
    </row>
    <row r="121" spans="1:9" x14ac:dyDescent="0.2">
      <c r="A121" s="29">
        <v>45891</v>
      </c>
      <c r="B121" t="s">
        <v>67</v>
      </c>
      <c r="C121" t="s">
        <v>61</v>
      </c>
      <c r="D121">
        <v>31</v>
      </c>
      <c r="E121">
        <v>28</v>
      </c>
      <c r="F121">
        <v>29</v>
      </c>
      <c r="G121">
        <v>24</v>
      </c>
      <c r="H121">
        <v>15</v>
      </c>
      <c r="I121">
        <v>28</v>
      </c>
    </row>
    <row r="122" spans="1:9" x14ac:dyDescent="0.2">
      <c r="A122" s="29">
        <v>45892</v>
      </c>
      <c r="B122" t="s">
        <v>68</v>
      </c>
      <c r="C122" t="s">
        <v>59</v>
      </c>
      <c r="D122">
        <v>30</v>
      </c>
      <c r="E122">
        <v>30</v>
      </c>
      <c r="F122">
        <v>27</v>
      </c>
      <c r="G122">
        <v>24</v>
      </c>
      <c r="H122">
        <v>6</v>
      </c>
      <c r="I122">
        <v>27</v>
      </c>
    </row>
    <row r="123" spans="1:9" x14ac:dyDescent="0.2">
      <c r="A123" s="29">
        <v>45892</v>
      </c>
      <c r="B123" t="s">
        <v>68</v>
      </c>
      <c r="C123" t="s">
        <v>60</v>
      </c>
      <c r="D123">
        <v>26</v>
      </c>
      <c r="E123">
        <v>12</v>
      </c>
      <c r="F123">
        <v>11</v>
      </c>
      <c r="G123">
        <v>11</v>
      </c>
      <c r="H123">
        <v>4</v>
      </c>
      <c r="I123">
        <v>11</v>
      </c>
    </row>
    <row r="124" spans="1:9" x14ac:dyDescent="0.2">
      <c r="A124" s="29">
        <v>45892</v>
      </c>
      <c r="B124" t="s">
        <v>68</v>
      </c>
      <c r="C124" t="s">
        <v>61</v>
      </c>
      <c r="D124">
        <v>34</v>
      </c>
      <c r="E124">
        <v>20</v>
      </c>
      <c r="F124">
        <v>19</v>
      </c>
      <c r="G124">
        <v>19</v>
      </c>
      <c r="H124">
        <v>10</v>
      </c>
      <c r="I124">
        <v>19</v>
      </c>
    </row>
    <row r="125" spans="1:9" x14ac:dyDescent="0.2">
      <c r="A125" s="29">
        <v>45893</v>
      </c>
      <c r="B125" t="s">
        <v>69</v>
      </c>
      <c r="C125" t="s">
        <v>59</v>
      </c>
      <c r="D125">
        <v>34</v>
      </c>
      <c r="E125">
        <v>17</v>
      </c>
      <c r="F125">
        <v>15</v>
      </c>
      <c r="G125">
        <v>15</v>
      </c>
      <c r="H125">
        <v>7</v>
      </c>
      <c r="I125">
        <v>15</v>
      </c>
    </row>
    <row r="126" spans="1:9" x14ac:dyDescent="0.2">
      <c r="A126" s="29">
        <v>45893</v>
      </c>
      <c r="B126" t="s">
        <v>69</v>
      </c>
      <c r="C126" t="s">
        <v>60</v>
      </c>
      <c r="D126" t="s">
        <v>62</v>
      </c>
      <c r="E126" t="s">
        <v>62</v>
      </c>
      <c r="F126" t="s">
        <v>62</v>
      </c>
      <c r="G126" t="s">
        <v>62</v>
      </c>
      <c r="H126" t="s">
        <v>62</v>
      </c>
      <c r="I126" t="s">
        <v>62</v>
      </c>
    </row>
    <row r="127" spans="1:9" x14ac:dyDescent="0.2">
      <c r="A127" s="29">
        <v>45893</v>
      </c>
      <c r="B127" t="s">
        <v>69</v>
      </c>
      <c r="C127" t="s">
        <v>61</v>
      </c>
      <c r="D127" t="s">
        <v>62</v>
      </c>
      <c r="E127" t="s">
        <v>62</v>
      </c>
      <c r="F127" t="s">
        <v>62</v>
      </c>
      <c r="G127" t="s">
        <v>62</v>
      </c>
      <c r="H127" t="s">
        <v>62</v>
      </c>
      <c r="I127" t="s">
        <v>62</v>
      </c>
    </row>
    <row r="128" spans="1:9" x14ac:dyDescent="0.2">
      <c r="A128" s="29">
        <v>45894</v>
      </c>
      <c r="B128" t="s">
        <v>63</v>
      </c>
      <c r="C128" t="s">
        <v>59</v>
      </c>
      <c r="D128">
        <v>30</v>
      </c>
      <c r="E128">
        <v>20</v>
      </c>
      <c r="F128">
        <v>17</v>
      </c>
      <c r="G128">
        <v>16</v>
      </c>
      <c r="H128">
        <v>16</v>
      </c>
      <c r="I128">
        <v>17</v>
      </c>
    </row>
    <row r="129" spans="1:9" x14ac:dyDescent="0.2">
      <c r="A129" s="29">
        <v>45894</v>
      </c>
      <c r="B129" t="s">
        <v>63</v>
      </c>
      <c r="C129" t="s">
        <v>60</v>
      </c>
      <c r="D129" t="s">
        <v>62</v>
      </c>
      <c r="E129" t="s">
        <v>62</v>
      </c>
      <c r="F129" t="s">
        <v>62</v>
      </c>
      <c r="G129" t="s">
        <v>62</v>
      </c>
      <c r="H129" t="s">
        <v>62</v>
      </c>
      <c r="I129" t="s">
        <v>62</v>
      </c>
    </row>
    <row r="130" spans="1:9" x14ac:dyDescent="0.2">
      <c r="A130" s="29">
        <v>45894</v>
      </c>
      <c r="B130" t="s">
        <v>63</v>
      </c>
      <c r="C130" t="s">
        <v>61</v>
      </c>
      <c r="D130">
        <v>37</v>
      </c>
      <c r="E130">
        <v>29</v>
      </c>
      <c r="F130">
        <v>28</v>
      </c>
      <c r="G130">
        <v>26</v>
      </c>
      <c r="H130">
        <v>16</v>
      </c>
      <c r="I130">
        <v>28</v>
      </c>
    </row>
    <row r="131" spans="1:9" x14ac:dyDescent="0.2">
      <c r="A131" s="29">
        <v>45895</v>
      </c>
      <c r="B131" t="s">
        <v>64</v>
      </c>
      <c r="C131" t="s">
        <v>59</v>
      </c>
      <c r="D131">
        <v>33</v>
      </c>
      <c r="E131">
        <v>29</v>
      </c>
      <c r="F131">
        <v>26</v>
      </c>
      <c r="G131">
        <v>24</v>
      </c>
      <c r="H131">
        <v>14</v>
      </c>
      <c r="I131">
        <v>26</v>
      </c>
    </row>
    <row r="132" spans="1:9" x14ac:dyDescent="0.2">
      <c r="A132" s="29">
        <v>45895</v>
      </c>
      <c r="B132" t="s">
        <v>64</v>
      </c>
      <c r="C132" t="s">
        <v>60</v>
      </c>
      <c r="D132">
        <v>29</v>
      </c>
      <c r="E132">
        <v>19</v>
      </c>
      <c r="F132">
        <v>19</v>
      </c>
      <c r="G132">
        <v>17</v>
      </c>
      <c r="H132">
        <v>6</v>
      </c>
      <c r="I132">
        <v>19</v>
      </c>
    </row>
    <row r="133" spans="1:9" x14ac:dyDescent="0.2">
      <c r="A133" s="29">
        <v>45895</v>
      </c>
      <c r="B133" t="s">
        <v>64</v>
      </c>
      <c r="C133" t="s">
        <v>61</v>
      </c>
      <c r="D133">
        <v>35</v>
      </c>
      <c r="E133">
        <v>32</v>
      </c>
      <c r="F133">
        <v>31</v>
      </c>
      <c r="G133">
        <v>27</v>
      </c>
      <c r="H133">
        <v>15</v>
      </c>
      <c r="I133">
        <v>31</v>
      </c>
    </row>
    <row r="134" spans="1:9" x14ac:dyDescent="0.2">
      <c r="A134" s="29">
        <v>45896</v>
      </c>
      <c r="B134" t="s">
        <v>65</v>
      </c>
      <c r="C134" t="s">
        <v>59</v>
      </c>
      <c r="D134">
        <v>33</v>
      </c>
      <c r="E134">
        <v>28</v>
      </c>
      <c r="F134">
        <v>25</v>
      </c>
      <c r="G134">
        <v>23</v>
      </c>
      <c r="H134">
        <v>22</v>
      </c>
      <c r="I134">
        <v>25</v>
      </c>
    </row>
    <row r="135" spans="1:9" x14ac:dyDescent="0.2">
      <c r="A135" s="29">
        <v>45896</v>
      </c>
      <c r="B135" t="s">
        <v>65</v>
      </c>
      <c r="C135" t="s">
        <v>60</v>
      </c>
      <c r="D135">
        <v>24</v>
      </c>
      <c r="E135">
        <v>18</v>
      </c>
      <c r="F135">
        <v>18</v>
      </c>
      <c r="G135">
        <v>18</v>
      </c>
      <c r="H135">
        <v>6</v>
      </c>
      <c r="I135">
        <v>18</v>
      </c>
    </row>
    <row r="136" spans="1:9" x14ac:dyDescent="0.2">
      <c r="A136" s="29">
        <v>45896</v>
      </c>
      <c r="B136" t="s">
        <v>65</v>
      </c>
      <c r="C136" t="s">
        <v>61</v>
      </c>
      <c r="D136">
        <v>31</v>
      </c>
      <c r="E136">
        <v>30</v>
      </c>
      <c r="F136">
        <v>31</v>
      </c>
      <c r="G136">
        <v>27</v>
      </c>
      <c r="H136">
        <v>23</v>
      </c>
      <c r="I136">
        <v>30</v>
      </c>
    </row>
    <row r="137" spans="1:9" x14ac:dyDescent="0.2">
      <c r="A137" s="29">
        <v>45897</v>
      </c>
      <c r="B137" t="s">
        <v>66</v>
      </c>
      <c r="C137" t="s">
        <v>59</v>
      </c>
      <c r="D137">
        <v>30</v>
      </c>
      <c r="E137">
        <v>31</v>
      </c>
      <c r="F137">
        <v>28</v>
      </c>
      <c r="G137">
        <v>26</v>
      </c>
      <c r="H137">
        <v>15</v>
      </c>
      <c r="I137">
        <v>28</v>
      </c>
    </row>
    <row r="138" spans="1:9" x14ac:dyDescent="0.2">
      <c r="A138" s="29">
        <v>45897</v>
      </c>
      <c r="B138" t="s">
        <v>66</v>
      </c>
      <c r="C138" t="s">
        <v>60</v>
      </c>
      <c r="D138">
        <v>25</v>
      </c>
      <c r="E138">
        <v>17</v>
      </c>
      <c r="F138">
        <v>16</v>
      </c>
      <c r="G138">
        <v>16</v>
      </c>
      <c r="H138">
        <v>5</v>
      </c>
      <c r="I138">
        <v>16</v>
      </c>
    </row>
    <row r="139" spans="1:9" x14ac:dyDescent="0.2">
      <c r="A139" s="29">
        <v>45897</v>
      </c>
      <c r="B139" t="s">
        <v>66</v>
      </c>
      <c r="C139" t="s">
        <v>61</v>
      </c>
      <c r="D139">
        <v>35</v>
      </c>
      <c r="E139">
        <v>31</v>
      </c>
      <c r="F139">
        <v>30</v>
      </c>
      <c r="G139">
        <v>27</v>
      </c>
      <c r="H139">
        <v>20</v>
      </c>
      <c r="I139">
        <v>30</v>
      </c>
    </row>
    <row r="140" spans="1:9" x14ac:dyDescent="0.2">
      <c r="A140" s="29">
        <v>45898</v>
      </c>
      <c r="B140" t="s">
        <v>67</v>
      </c>
      <c r="C140" t="s">
        <v>59</v>
      </c>
      <c r="D140">
        <v>35</v>
      </c>
      <c r="E140">
        <v>32</v>
      </c>
      <c r="F140">
        <v>29</v>
      </c>
      <c r="G140">
        <v>28</v>
      </c>
      <c r="H140">
        <v>16</v>
      </c>
      <c r="I140">
        <v>29</v>
      </c>
    </row>
    <row r="141" spans="1:9" x14ac:dyDescent="0.2">
      <c r="A141" s="29">
        <v>45898</v>
      </c>
      <c r="B141" t="s">
        <v>67</v>
      </c>
      <c r="C141" t="s">
        <v>60</v>
      </c>
      <c r="D141">
        <v>29</v>
      </c>
      <c r="E141">
        <v>17</v>
      </c>
      <c r="F141">
        <v>16</v>
      </c>
      <c r="G141">
        <v>15</v>
      </c>
      <c r="H141">
        <v>9</v>
      </c>
      <c r="I141">
        <v>16</v>
      </c>
    </row>
    <row r="142" spans="1:9" x14ac:dyDescent="0.2">
      <c r="A142" s="29">
        <v>45898</v>
      </c>
      <c r="B142" t="s">
        <v>67</v>
      </c>
      <c r="C142" t="s">
        <v>61</v>
      </c>
      <c r="D142">
        <v>36</v>
      </c>
      <c r="E142">
        <v>33</v>
      </c>
      <c r="F142">
        <v>31</v>
      </c>
      <c r="G142">
        <v>27</v>
      </c>
      <c r="H142">
        <v>13</v>
      </c>
      <c r="I142">
        <v>31</v>
      </c>
    </row>
    <row r="143" spans="1:9" x14ac:dyDescent="0.2">
      <c r="A143" s="29">
        <v>45899</v>
      </c>
      <c r="B143" t="s">
        <v>68</v>
      </c>
      <c r="C143" t="s">
        <v>59</v>
      </c>
      <c r="D143">
        <v>34</v>
      </c>
      <c r="E143">
        <v>29</v>
      </c>
      <c r="F143">
        <v>26</v>
      </c>
      <c r="G143">
        <v>25</v>
      </c>
      <c r="H143">
        <v>16</v>
      </c>
      <c r="I143">
        <v>26</v>
      </c>
    </row>
    <row r="144" spans="1:9" x14ac:dyDescent="0.2">
      <c r="A144" s="29">
        <v>45899</v>
      </c>
      <c r="B144" t="s">
        <v>68</v>
      </c>
      <c r="C144" t="s">
        <v>60</v>
      </c>
      <c r="D144">
        <v>27</v>
      </c>
      <c r="E144">
        <v>14</v>
      </c>
      <c r="F144">
        <v>14</v>
      </c>
      <c r="G144">
        <v>13</v>
      </c>
      <c r="H144">
        <v>5</v>
      </c>
      <c r="I144">
        <v>14</v>
      </c>
    </row>
    <row r="145" spans="1:9" x14ac:dyDescent="0.2">
      <c r="A145" s="29">
        <v>45899</v>
      </c>
      <c r="B145" t="s">
        <v>68</v>
      </c>
      <c r="C145" t="s">
        <v>61</v>
      </c>
      <c r="D145" t="s">
        <v>62</v>
      </c>
      <c r="E145" t="s">
        <v>62</v>
      </c>
      <c r="F145" t="s">
        <v>62</v>
      </c>
      <c r="G145" t="s">
        <v>62</v>
      </c>
      <c r="H145" t="s">
        <v>62</v>
      </c>
      <c r="I145" t="s">
        <v>62</v>
      </c>
    </row>
    <row r="146" spans="1:9" x14ac:dyDescent="0.2">
      <c r="A146" s="29">
        <v>45900</v>
      </c>
      <c r="B146" t="s">
        <v>69</v>
      </c>
      <c r="C146" t="s">
        <v>59</v>
      </c>
      <c r="D146">
        <v>32</v>
      </c>
      <c r="E146">
        <v>18</v>
      </c>
      <c r="F146">
        <v>18</v>
      </c>
      <c r="G146">
        <v>17</v>
      </c>
      <c r="H146">
        <v>4</v>
      </c>
      <c r="I146">
        <v>18</v>
      </c>
    </row>
    <row r="147" spans="1:9" x14ac:dyDescent="0.2">
      <c r="A147" s="29">
        <v>45900</v>
      </c>
      <c r="B147" t="s">
        <v>69</v>
      </c>
      <c r="C147" t="s">
        <v>60</v>
      </c>
      <c r="D147" t="s">
        <v>62</v>
      </c>
      <c r="E147" t="s">
        <v>62</v>
      </c>
      <c r="F147" t="s">
        <v>62</v>
      </c>
      <c r="G147" t="s">
        <v>62</v>
      </c>
      <c r="H147" t="s">
        <v>62</v>
      </c>
      <c r="I147" t="s">
        <v>62</v>
      </c>
    </row>
    <row r="148" spans="1:9" x14ac:dyDescent="0.2">
      <c r="A148" s="29">
        <v>45900</v>
      </c>
      <c r="B148" t="s">
        <v>69</v>
      </c>
      <c r="C148" t="s">
        <v>61</v>
      </c>
      <c r="D148">
        <v>31</v>
      </c>
      <c r="E148">
        <v>28</v>
      </c>
      <c r="F148">
        <v>32</v>
      </c>
      <c r="G148">
        <v>25</v>
      </c>
      <c r="H148">
        <v>11</v>
      </c>
      <c r="I148">
        <v>28</v>
      </c>
    </row>
    <row r="149" spans="1:9" x14ac:dyDescent="0.2">
      <c r="A149" s="29">
        <v>45901</v>
      </c>
      <c r="B149" t="s">
        <v>63</v>
      </c>
      <c r="C149" t="s">
        <v>59</v>
      </c>
      <c r="D149">
        <v>27</v>
      </c>
      <c r="E149">
        <v>30</v>
      </c>
      <c r="F149">
        <v>28</v>
      </c>
      <c r="G149">
        <v>25</v>
      </c>
      <c r="H149">
        <v>21</v>
      </c>
      <c r="I149">
        <v>28</v>
      </c>
    </row>
    <row r="150" spans="1:9" x14ac:dyDescent="0.2">
      <c r="A150" s="29">
        <v>45901</v>
      </c>
      <c r="B150" t="s">
        <v>63</v>
      </c>
      <c r="C150" t="s">
        <v>60</v>
      </c>
      <c r="D150">
        <v>25</v>
      </c>
      <c r="E150">
        <v>16</v>
      </c>
      <c r="F150">
        <v>14</v>
      </c>
      <c r="G150">
        <v>13</v>
      </c>
      <c r="H150">
        <v>13</v>
      </c>
      <c r="I150">
        <v>14</v>
      </c>
    </row>
    <row r="151" spans="1:9" x14ac:dyDescent="0.2">
      <c r="A151" s="29">
        <v>45901</v>
      </c>
      <c r="B151" t="s">
        <v>63</v>
      </c>
      <c r="C151" t="s">
        <v>61</v>
      </c>
      <c r="D151">
        <v>25</v>
      </c>
      <c r="E151">
        <v>28</v>
      </c>
      <c r="F151">
        <v>27</v>
      </c>
      <c r="G151">
        <v>24</v>
      </c>
      <c r="H151">
        <v>19</v>
      </c>
      <c r="I151">
        <v>27</v>
      </c>
    </row>
    <row r="152" spans="1:9" x14ac:dyDescent="0.2">
      <c r="A152" s="29">
        <v>45902</v>
      </c>
      <c r="B152" t="s">
        <v>64</v>
      </c>
      <c r="C152" t="s">
        <v>59</v>
      </c>
      <c r="D152">
        <v>28</v>
      </c>
      <c r="E152">
        <v>32</v>
      </c>
      <c r="F152">
        <v>27</v>
      </c>
      <c r="G152">
        <v>25</v>
      </c>
      <c r="H152">
        <v>24</v>
      </c>
      <c r="I152">
        <v>27</v>
      </c>
    </row>
    <row r="153" spans="1:9" x14ac:dyDescent="0.2">
      <c r="A153" s="29">
        <v>45902</v>
      </c>
      <c r="B153" t="s">
        <v>64</v>
      </c>
      <c r="C153" t="s">
        <v>60</v>
      </c>
      <c r="D153">
        <v>19</v>
      </c>
      <c r="E153">
        <v>16</v>
      </c>
      <c r="F153">
        <v>15</v>
      </c>
      <c r="G153">
        <v>14</v>
      </c>
      <c r="H153">
        <v>7</v>
      </c>
      <c r="I153">
        <v>15</v>
      </c>
    </row>
    <row r="154" spans="1:9" x14ac:dyDescent="0.2">
      <c r="A154" s="29">
        <v>45902</v>
      </c>
      <c r="B154" t="s">
        <v>64</v>
      </c>
      <c r="C154" t="s">
        <v>61</v>
      </c>
      <c r="D154">
        <v>35</v>
      </c>
      <c r="E154">
        <v>32</v>
      </c>
      <c r="F154">
        <v>29</v>
      </c>
      <c r="G154">
        <v>27</v>
      </c>
      <c r="H154">
        <v>17</v>
      </c>
      <c r="I154">
        <v>29</v>
      </c>
    </row>
    <row r="155" spans="1:9" x14ac:dyDescent="0.2">
      <c r="A155" s="29">
        <v>45903</v>
      </c>
      <c r="B155" t="s">
        <v>65</v>
      </c>
      <c r="C155" t="s">
        <v>59</v>
      </c>
      <c r="D155">
        <v>27</v>
      </c>
      <c r="E155">
        <v>28</v>
      </c>
      <c r="F155">
        <v>26</v>
      </c>
      <c r="G155">
        <v>23</v>
      </c>
      <c r="H155">
        <v>12</v>
      </c>
      <c r="I155">
        <v>26</v>
      </c>
    </row>
    <row r="156" spans="1:9" x14ac:dyDescent="0.2">
      <c r="A156" s="29">
        <v>45903</v>
      </c>
      <c r="B156" t="s">
        <v>65</v>
      </c>
      <c r="C156" t="s">
        <v>60</v>
      </c>
      <c r="D156">
        <v>29</v>
      </c>
      <c r="E156">
        <v>20</v>
      </c>
      <c r="F156">
        <v>15</v>
      </c>
      <c r="G156">
        <v>15</v>
      </c>
      <c r="H156">
        <v>9</v>
      </c>
      <c r="I156">
        <v>15</v>
      </c>
    </row>
    <row r="157" spans="1:9" x14ac:dyDescent="0.2">
      <c r="A157" s="29">
        <v>45903</v>
      </c>
      <c r="B157" t="s">
        <v>65</v>
      </c>
      <c r="C157" t="s">
        <v>61</v>
      </c>
      <c r="D157">
        <v>37</v>
      </c>
      <c r="E157">
        <v>35</v>
      </c>
      <c r="F157">
        <v>28</v>
      </c>
      <c r="G157">
        <v>26</v>
      </c>
      <c r="H157">
        <v>23</v>
      </c>
      <c r="I157">
        <v>28</v>
      </c>
    </row>
    <row r="158" spans="1:9" x14ac:dyDescent="0.2">
      <c r="A158" s="29">
        <v>45904</v>
      </c>
      <c r="B158" t="s">
        <v>66</v>
      </c>
      <c r="C158" t="s">
        <v>59</v>
      </c>
      <c r="D158">
        <v>34</v>
      </c>
      <c r="E158">
        <v>29</v>
      </c>
      <c r="F158">
        <v>27</v>
      </c>
      <c r="G158">
        <v>25</v>
      </c>
      <c r="H158">
        <v>17</v>
      </c>
      <c r="I158">
        <v>27</v>
      </c>
    </row>
    <row r="159" spans="1:9" x14ac:dyDescent="0.2">
      <c r="A159" s="29">
        <v>45904</v>
      </c>
      <c r="B159" t="s">
        <v>66</v>
      </c>
      <c r="C159" t="s">
        <v>60</v>
      </c>
      <c r="D159">
        <v>26</v>
      </c>
      <c r="E159">
        <v>18</v>
      </c>
      <c r="F159">
        <v>14</v>
      </c>
      <c r="G159">
        <v>12</v>
      </c>
      <c r="H159">
        <v>9</v>
      </c>
      <c r="I159">
        <v>14</v>
      </c>
    </row>
    <row r="160" spans="1:9" x14ac:dyDescent="0.2">
      <c r="A160" s="29">
        <v>45904</v>
      </c>
      <c r="B160" t="s">
        <v>66</v>
      </c>
      <c r="C160" t="s">
        <v>61</v>
      </c>
      <c r="D160">
        <v>33</v>
      </c>
      <c r="E160">
        <v>31</v>
      </c>
      <c r="F160">
        <v>27</v>
      </c>
      <c r="G160">
        <v>24</v>
      </c>
      <c r="H160">
        <v>12</v>
      </c>
      <c r="I160">
        <v>27</v>
      </c>
    </row>
    <row r="161" spans="1:9" x14ac:dyDescent="0.2">
      <c r="A161" s="29">
        <v>45905</v>
      </c>
      <c r="B161" t="s">
        <v>67</v>
      </c>
      <c r="C161" t="s">
        <v>59</v>
      </c>
      <c r="D161">
        <v>32</v>
      </c>
      <c r="E161">
        <v>31</v>
      </c>
      <c r="F161">
        <v>29</v>
      </c>
      <c r="G161">
        <v>23</v>
      </c>
      <c r="H161">
        <v>16</v>
      </c>
      <c r="I161">
        <v>29</v>
      </c>
    </row>
    <row r="162" spans="1:9" x14ac:dyDescent="0.2">
      <c r="A162" s="29">
        <v>45905</v>
      </c>
      <c r="B162" t="s">
        <v>67</v>
      </c>
      <c r="C162" t="s">
        <v>60</v>
      </c>
      <c r="D162">
        <v>23</v>
      </c>
      <c r="E162">
        <v>14</v>
      </c>
      <c r="F162">
        <v>13</v>
      </c>
      <c r="G162">
        <v>12</v>
      </c>
      <c r="H162">
        <v>9</v>
      </c>
      <c r="I162">
        <v>13</v>
      </c>
    </row>
    <row r="163" spans="1:9" x14ac:dyDescent="0.2">
      <c r="A163" s="29">
        <v>45905</v>
      </c>
      <c r="B163" t="s">
        <v>67</v>
      </c>
      <c r="C163" t="s">
        <v>61</v>
      </c>
      <c r="D163">
        <v>35</v>
      </c>
      <c r="E163">
        <v>33</v>
      </c>
      <c r="F163">
        <v>29</v>
      </c>
      <c r="G163">
        <v>26</v>
      </c>
      <c r="H163">
        <v>12</v>
      </c>
      <c r="I163">
        <v>29</v>
      </c>
    </row>
    <row r="164" spans="1:9" x14ac:dyDescent="0.2">
      <c r="A164" s="29">
        <v>45906</v>
      </c>
      <c r="B164" t="s">
        <v>68</v>
      </c>
      <c r="C164" t="s">
        <v>59</v>
      </c>
      <c r="D164">
        <v>35</v>
      </c>
      <c r="E164">
        <v>27</v>
      </c>
      <c r="F164">
        <v>25</v>
      </c>
      <c r="G164">
        <v>23</v>
      </c>
      <c r="H164">
        <v>20</v>
      </c>
      <c r="I164">
        <v>25</v>
      </c>
    </row>
    <row r="165" spans="1:9" x14ac:dyDescent="0.2">
      <c r="A165" s="29">
        <v>45906</v>
      </c>
      <c r="B165" t="s">
        <v>68</v>
      </c>
      <c r="C165" t="s">
        <v>60</v>
      </c>
      <c r="D165">
        <v>27</v>
      </c>
      <c r="E165">
        <v>12</v>
      </c>
      <c r="F165">
        <v>12</v>
      </c>
      <c r="G165">
        <v>12</v>
      </c>
      <c r="H165">
        <v>4</v>
      </c>
      <c r="I165">
        <v>12</v>
      </c>
    </row>
    <row r="166" spans="1:9" x14ac:dyDescent="0.2">
      <c r="A166" s="29">
        <v>45906</v>
      </c>
      <c r="B166" t="s">
        <v>68</v>
      </c>
      <c r="C166" t="s">
        <v>61</v>
      </c>
      <c r="D166" t="s">
        <v>62</v>
      </c>
      <c r="E166" t="s">
        <v>62</v>
      </c>
      <c r="F166" t="s">
        <v>62</v>
      </c>
      <c r="G166" t="s">
        <v>62</v>
      </c>
      <c r="H166" t="s">
        <v>62</v>
      </c>
      <c r="I166" t="s">
        <v>62</v>
      </c>
    </row>
    <row r="167" spans="1:9" x14ac:dyDescent="0.2">
      <c r="A167" s="29">
        <v>45907</v>
      </c>
      <c r="B167" t="s">
        <v>69</v>
      </c>
      <c r="C167" t="s">
        <v>59</v>
      </c>
      <c r="D167">
        <v>32</v>
      </c>
      <c r="E167">
        <v>20</v>
      </c>
      <c r="F167">
        <v>18</v>
      </c>
      <c r="G167">
        <v>16</v>
      </c>
      <c r="H167">
        <v>6</v>
      </c>
      <c r="I167">
        <v>18</v>
      </c>
    </row>
    <row r="168" spans="1:9" x14ac:dyDescent="0.2">
      <c r="A168" s="29">
        <v>45907</v>
      </c>
      <c r="B168" t="s">
        <v>69</v>
      </c>
      <c r="C168" t="s">
        <v>60</v>
      </c>
      <c r="D168" t="s">
        <v>62</v>
      </c>
      <c r="E168" t="s">
        <v>62</v>
      </c>
      <c r="F168" t="s">
        <v>62</v>
      </c>
      <c r="G168" t="s">
        <v>62</v>
      </c>
      <c r="H168" t="s">
        <v>62</v>
      </c>
      <c r="I168" t="s">
        <v>62</v>
      </c>
    </row>
    <row r="169" spans="1:9" x14ac:dyDescent="0.2">
      <c r="A169" s="29">
        <v>45907</v>
      </c>
      <c r="B169" t="s">
        <v>69</v>
      </c>
      <c r="C169" t="s">
        <v>61</v>
      </c>
      <c r="D169">
        <v>31</v>
      </c>
      <c r="E169">
        <v>30</v>
      </c>
      <c r="F169">
        <v>26</v>
      </c>
      <c r="G169">
        <v>26</v>
      </c>
      <c r="H169">
        <v>18</v>
      </c>
      <c r="I169">
        <v>26</v>
      </c>
    </row>
    <row r="170" spans="1:9" x14ac:dyDescent="0.2">
      <c r="A170" s="29">
        <v>45908</v>
      </c>
      <c r="B170" t="s">
        <v>63</v>
      </c>
      <c r="C170" t="s">
        <v>59</v>
      </c>
      <c r="D170">
        <v>26</v>
      </c>
      <c r="E170">
        <v>27</v>
      </c>
      <c r="F170">
        <v>24</v>
      </c>
      <c r="G170">
        <v>21</v>
      </c>
      <c r="H170">
        <v>17</v>
      </c>
      <c r="I170">
        <v>24</v>
      </c>
    </row>
    <row r="171" spans="1:9" x14ac:dyDescent="0.2">
      <c r="A171" s="29">
        <v>45908</v>
      </c>
      <c r="B171" t="s">
        <v>63</v>
      </c>
      <c r="C171" t="s">
        <v>60</v>
      </c>
      <c r="D171">
        <v>28</v>
      </c>
      <c r="E171">
        <v>19</v>
      </c>
      <c r="F171">
        <v>16</v>
      </c>
      <c r="G171">
        <v>15</v>
      </c>
      <c r="H171">
        <v>7</v>
      </c>
      <c r="I171">
        <v>16</v>
      </c>
    </row>
    <row r="172" spans="1:9" x14ac:dyDescent="0.2">
      <c r="A172" s="29">
        <v>45908</v>
      </c>
      <c r="B172" t="s">
        <v>63</v>
      </c>
      <c r="C172" t="s">
        <v>61</v>
      </c>
      <c r="D172">
        <v>29</v>
      </c>
      <c r="E172">
        <v>28</v>
      </c>
      <c r="F172">
        <v>27</v>
      </c>
      <c r="G172">
        <v>24</v>
      </c>
      <c r="H172">
        <v>23</v>
      </c>
      <c r="I172">
        <v>27</v>
      </c>
    </row>
    <row r="173" spans="1:9" x14ac:dyDescent="0.2">
      <c r="A173" s="29">
        <v>45909</v>
      </c>
      <c r="B173" t="s">
        <v>64</v>
      </c>
      <c r="C173" t="s">
        <v>59</v>
      </c>
      <c r="D173">
        <v>22</v>
      </c>
      <c r="E173">
        <v>27</v>
      </c>
      <c r="F173">
        <v>25</v>
      </c>
      <c r="G173">
        <v>20</v>
      </c>
      <c r="H173">
        <v>19</v>
      </c>
      <c r="I173">
        <v>25</v>
      </c>
    </row>
    <row r="174" spans="1:9" x14ac:dyDescent="0.2">
      <c r="A174" s="29">
        <v>45909</v>
      </c>
      <c r="B174" t="s">
        <v>64</v>
      </c>
      <c r="C174" t="s">
        <v>60</v>
      </c>
      <c r="D174">
        <v>25</v>
      </c>
      <c r="E174">
        <v>16</v>
      </c>
      <c r="F174">
        <v>14</v>
      </c>
      <c r="G174">
        <v>12</v>
      </c>
      <c r="H174">
        <v>6</v>
      </c>
      <c r="I174">
        <v>14</v>
      </c>
    </row>
    <row r="175" spans="1:9" x14ac:dyDescent="0.2">
      <c r="A175" s="29">
        <v>45909</v>
      </c>
      <c r="B175" t="s">
        <v>64</v>
      </c>
      <c r="C175" t="s">
        <v>61</v>
      </c>
      <c r="D175">
        <v>32</v>
      </c>
      <c r="E175">
        <v>27</v>
      </c>
      <c r="F175">
        <v>25</v>
      </c>
      <c r="G175">
        <v>23</v>
      </c>
      <c r="H175">
        <v>11</v>
      </c>
      <c r="I175">
        <v>25</v>
      </c>
    </row>
    <row r="176" spans="1:9" x14ac:dyDescent="0.2">
      <c r="A176" s="29">
        <v>45910</v>
      </c>
      <c r="B176" t="s">
        <v>65</v>
      </c>
      <c r="C176" t="s">
        <v>59</v>
      </c>
      <c r="D176">
        <v>31</v>
      </c>
      <c r="E176">
        <v>30</v>
      </c>
      <c r="F176">
        <v>28</v>
      </c>
      <c r="G176">
        <v>23</v>
      </c>
      <c r="H176">
        <v>17</v>
      </c>
      <c r="I176">
        <v>28</v>
      </c>
    </row>
    <row r="177" spans="1:9" x14ac:dyDescent="0.2">
      <c r="A177" s="29">
        <v>45910</v>
      </c>
      <c r="B177" t="s">
        <v>65</v>
      </c>
      <c r="C177" t="s">
        <v>60</v>
      </c>
      <c r="D177">
        <v>30</v>
      </c>
      <c r="E177">
        <v>16</v>
      </c>
      <c r="F177">
        <v>15</v>
      </c>
      <c r="G177">
        <v>13</v>
      </c>
      <c r="H177">
        <v>8</v>
      </c>
      <c r="I177">
        <v>15</v>
      </c>
    </row>
    <row r="178" spans="1:9" x14ac:dyDescent="0.2">
      <c r="A178" s="29">
        <v>45910</v>
      </c>
      <c r="B178" t="s">
        <v>65</v>
      </c>
      <c r="C178" t="s">
        <v>61</v>
      </c>
      <c r="D178">
        <v>30</v>
      </c>
      <c r="E178">
        <v>28</v>
      </c>
      <c r="F178">
        <v>28</v>
      </c>
      <c r="G178">
        <v>25</v>
      </c>
      <c r="H178">
        <v>14</v>
      </c>
      <c r="I178">
        <v>28</v>
      </c>
    </row>
    <row r="179" spans="1:9" x14ac:dyDescent="0.2">
      <c r="A179" s="29">
        <v>45911</v>
      </c>
      <c r="B179" t="s">
        <v>66</v>
      </c>
      <c r="C179" t="s">
        <v>59</v>
      </c>
      <c r="D179">
        <v>26</v>
      </c>
      <c r="E179">
        <v>31</v>
      </c>
      <c r="F179">
        <v>27</v>
      </c>
      <c r="G179">
        <v>24</v>
      </c>
      <c r="H179">
        <v>15</v>
      </c>
      <c r="I179">
        <v>27</v>
      </c>
    </row>
    <row r="180" spans="1:9" x14ac:dyDescent="0.2">
      <c r="A180" s="29">
        <v>45911</v>
      </c>
      <c r="B180" t="s">
        <v>66</v>
      </c>
      <c r="C180" t="s">
        <v>60</v>
      </c>
      <c r="D180">
        <v>30</v>
      </c>
      <c r="E180">
        <v>17</v>
      </c>
      <c r="F180">
        <v>15</v>
      </c>
      <c r="G180">
        <v>15</v>
      </c>
      <c r="H180">
        <v>7</v>
      </c>
      <c r="I180">
        <v>15</v>
      </c>
    </row>
    <row r="181" spans="1:9" x14ac:dyDescent="0.2">
      <c r="A181" s="29">
        <v>45911</v>
      </c>
      <c r="B181" t="s">
        <v>66</v>
      </c>
      <c r="C181" t="s">
        <v>61</v>
      </c>
      <c r="D181">
        <v>33</v>
      </c>
      <c r="E181">
        <v>32</v>
      </c>
      <c r="F181">
        <v>26</v>
      </c>
      <c r="G181">
        <v>24</v>
      </c>
      <c r="H181">
        <v>9</v>
      </c>
      <c r="I181">
        <v>26</v>
      </c>
    </row>
    <row r="182" spans="1:9" x14ac:dyDescent="0.2">
      <c r="A182" s="29">
        <v>45912</v>
      </c>
      <c r="B182" t="s">
        <v>67</v>
      </c>
      <c r="C182" t="s">
        <v>59</v>
      </c>
      <c r="D182">
        <v>30</v>
      </c>
      <c r="E182">
        <v>31</v>
      </c>
      <c r="F182">
        <v>29</v>
      </c>
      <c r="G182">
        <v>26</v>
      </c>
      <c r="H182">
        <v>8</v>
      </c>
      <c r="I182">
        <v>29</v>
      </c>
    </row>
    <row r="183" spans="1:9" x14ac:dyDescent="0.2">
      <c r="A183" s="29">
        <v>45912</v>
      </c>
      <c r="B183" t="s">
        <v>67</v>
      </c>
      <c r="C183" t="s">
        <v>60</v>
      </c>
      <c r="D183">
        <v>28</v>
      </c>
      <c r="E183">
        <v>15</v>
      </c>
      <c r="F183">
        <v>9</v>
      </c>
      <c r="G183">
        <v>9</v>
      </c>
      <c r="H183">
        <v>6</v>
      </c>
      <c r="I183">
        <v>9</v>
      </c>
    </row>
    <row r="184" spans="1:9" x14ac:dyDescent="0.2">
      <c r="A184" s="29">
        <v>45912</v>
      </c>
      <c r="B184" t="s">
        <v>67</v>
      </c>
      <c r="C184" t="s">
        <v>61</v>
      </c>
      <c r="D184">
        <v>34</v>
      </c>
      <c r="E184">
        <v>35</v>
      </c>
      <c r="F184">
        <v>29</v>
      </c>
      <c r="G184">
        <v>26</v>
      </c>
      <c r="H184">
        <v>12</v>
      </c>
      <c r="I184">
        <v>29</v>
      </c>
    </row>
    <row r="185" spans="1:9" x14ac:dyDescent="0.2">
      <c r="A185" s="29">
        <v>45913</v>
      </c>
      <c r="B185" t="s">
        <v>68</v>
      </c>
      <c r="C185" t="s">
        <v>59</v>
      </c>
      <c r="D185">
        <v>35</v>
      </c>
      <c r="E185">
        <v>29</v>
      </c>
      <c r="F185">
        <v>27</v>
      </c>
      <c r="G185">
        <v>23</v>
      </c>
      <c r="H185">
        <v>8</v>
      </c>
      <c r="I185">
        <v>27</v>
      </c>
    </row>
    <row r="186" spans="1:9" x14ac:dyDescent="0.2">
      <c r="A186" s="29">
        <v>45913</v>
      </c>
      <c r="B186" t="s">
        <v>68</v>
      </c>
      <c r="C186" t="s">
        <v>60</v>
      </c>
      <c r="D186">
        <v>23</v>
      </c>
      <c r="E186">
        <v>13</v>
      </c>
      <c r="F186">
        <v>11</v>
      </c>
      <c r="G186">
        <v>11</v>
      </c>
      <c r="H186">
        <v>7</v>
      </c>
      <c r="I186">
        <v>11</v>
      </c>
    </row>
    <row r="187" spans="1:9" x14ac:dyDescent="0.2">
      <c r="A187" s="29">
        <v>45913</v>
      </c>
      <c r="B187" t="s">
        <v>68</v>
      </c>
      <c r="C187" t="s">
        <v>61</v>
      </c>
      <c r="D187" t="s">
        <v>62</v>
      </c>
      <c r="E187" t="s">
        <v>62</v>
      </c>
      <c r="F187" t="s">
        <v>62</v>
      </c>
      <c r="G187" t="s">
        <v>62</v>
      </c>
      <c r="H187" t="s">
        <v>62</v>
      </c>
      <c r="I187" t="s">
        <v>62</v>
      </c>
    </row>
    <row r="188" spans="1:9" x14ac:dyDescent="0.2">
      <c r="A188" s="29">
        <v>45914</v>
      </c>
      <c r="B188" t="s">
        <v>69</v>
      </c>
      <c r="C188" t="s">
        <v>59</v>
      </c>
      <c r="D188">
        <v>32</v>
      </c>
      <c r="E188">
        <v>18</v>
      </c>
      <c r="F188">
        <v>20</v>
      </c>
      <c r="G188">
        <v>25</v>
      </c>
      <c r="H188">
        <v>11</v>
      </c>
      <c r="I188">
        <v>18</v>
      </c>
    </row>
    <row r="189" spans="1:9" x14ac:dyDescent="0.2">
      <c r="A189" s="29">
        <v>45914</v>
      </c>
      <c r="B189" t="s">
        <v>69</v>
      </c>
      <c r="C189" t="s">
        <v>60</v>
      </c>
      <c r="D189" t="s">
        <v>62</v>
      </c>
      <c r="E189" t="s">
        <v>62</v>
      </c>
      <c r="F189" t="s">
        <v>62</v>
      </c>
      <c r="G189" t="s">
        <v>62</v>
      </c>
      <c r="H189" t="s">
        <v>62</v>
      </c>
      <c r="I189" t="s">
        <v>62</v>
      </c>
    </row>
    <row r="190" spans="1:9" x14ac:dyDescent="0.2">
      <c r="A190" s="29">
        <v>45914</v>
      </c>
      <c r="B190" t="s">
        <v>69</v>
      </c>
      <c r="C190" t="s">
        <v>61</v>
      </c>
      <c r="D190">
        <v>30</v>
      </c>
      <c r="E190">
        <v>31</v>
      </c>
      <c r="F190">
        <v>27</v>
      </c>
      <c r="G190">
        <v>25</v>
      </c>
      <c r="H190">
        <v>13</v>
      </c>
      <c r="I190">
        <v>27</v>
      </c>
    </row>
    <row r="191" spans="1:9" x14ac:dyDescent="0.2">
      <c r="A191" s="29">
        <v>45915</v>
      </c>
      <c r="B191" t="s">
        <v>63</v>
      </c>
      <c r="C191" t="s">
        <v>59</v>
      </c>
      <c r="D191">
        <v>26</v>
      </c>
      <c r="E191">
        <v>31</v>
      </c>
      <c r="F191">
        <v>30</v>
      </c>
      <c r="G191">
        <v>25</v>
      </c>
      <c r="H191">
        <v>22</v>
      </c>
      <c r="I191">
        <v>30</v>
      </c>
    </row>
    <row r="192" spans="1:9" x14ac:dyDescent="0.2">
      <c r="A192" s="29">
        <v>45915</v>
      </c>
      <c r="B192" t="s">
        <v>63</v>
      </c>
      <c r="C192" t="s">
        <v>60</v>
      </c>
      <c r="D192">
        <v>23</v>
      </c>
      <c r="E192">
        <v>17</v>
      </c>
      <c r="F192">
        <v>11</v>
      </c>
      <c r="G192">
        <v>11</v>
      </c>
      <c r="H192">
        <v>4</v>
      </c>
      <c r="I192">
        <v>11</v>
      </c>
    </row>
    <row r="193" spans="1:9" x14ac:dyDescent="0.2">
      <c r="A193" s="29">
        <v>45915</v>
      </c>
      <c r="B193" t="s">
        <v>63</v>
      </c>
      <c r="C193" t="s">
        <v>61</v>
      </c>
      <c r="D193">
        <v>33</v>
      </c>
      <c r="E193">
        <v>32</v>
      </c>
      <c r="F193">
        <v>31</v>
      </c>
      <c r="G193">
        <v>28</v>
      </c>
      <c r="H193">
        <v>14</v>
      </c>
      <c r="I193">
        <v>31</v>
      </c>
    </row>
    <row r="194" spans="1:9" x14ac:dyDescent="0.2">
      <c r="A194" s="29">
        <v>45916</v>
      </c>
      <c r="B194" t="s">
        <v>64</v>
      </c>
      <c r="C194" t="s">
        <v>59</v>
      </c>
      <c r="D194">
        <v>32</v>
      </c>
      <c r="E194">
        <v>29</v>
      </c>
      <c r="F194">
        <v>26</v>
      </c>
      <c r="G194">
        <v>24</v>
      </c>
      <c r="H194">
        <v>16</v>
      </c>
      <c r="I194">
        <v>26</v>
      </c>
    </row>
    <row r="195" spans="1:9" x14ac:dyDescent="0.2">
      <c r="A195" s="29">
        <v>45916</v>
      </c>
      <c r="B195" t="s">
        <v>64</v>
      </c>
      <c r="C195" t="s">
        <v>60</v>
      </c>
      <c r="D195">
        <v>25</v>
      </c>
      <c r="E195">
        <v>16</v>
      </c>
      <c r="F195">
        <v>13</v>
      </c>
      <c r="G195">
        <v>13</v>
      </c>
      <c r="H195">
        <v>5</v>
      </c>
      <c r="I195">
        <v>13</v>
      </c>
    </row>
    <row r="196" spans="1:9" x14ac:dyDescent="0.2">
      <c r="A196" s="29">
        <v>45916</v>
      </c>
      <c r="B196" t="s">
        <v>64</v>
      </c>
      <c r="C196" t="s">
        <v>61</v>
      </c>
      <c r="D196">
        <v>33</v>
      </c>
      <c r="E196">
        <v>33</v>
      </c>
      <c r="F196">
        <v>30</v>
      </c>
      <c r="G196">
        <v>28</v>
      </c>
      <c r="H196">
        <v>12</v>
      </c>
      <c r="I196">
        <v>30</v>
      </c>
    </row>
    <row r="197" spans="1:9" x14ac:dyDescent="0.2">
      <c r="A197" s="29">
        <v>45917</v>
      </c>
      <c r="B197" t="s">
        <v>65</v>
      </c>
      <c r="C197" t="s">
        <v>59</v>
      </c>
      <c r="D197">
        <v>30</v>
      </c>
      <c r="E197">
        <v>32</v>
      </c>
      <c r="F197">
        <v>31</v>
      </c>
      <c r="G197">
        <v>28</v>
      </c>
      <c r="H197">
        <v>14</v>
      </c>
      <c r="I197">
        <v>31</v>
      </c>
    </row>
    <row r="198" spans="1:9" x14ac:dyDescent="0.2">
      <c r="A198" s="29">
        <v>45917</v>
      </c>
      <c r="B198" t="s">
        <v>65</v>
      </c>
      <c r="C198" t="s">
        <v>60</v>
      </c>
      <c r="D198">
        <v>23</v>
      </c>
      <c r="E198">
        <v>14</v>
      </c>
      <c r="F198">
        <v>14</v>
      </c>
      <c r="G198">
        <v>14</v>
      </c>
      <c r="H198">
        <v>7</v>
      </c>
      <c r="I198">
        <v>14</v>
      </c>
    </row>
    <row r="199" spans="1:9" x14ac:dyDescent="0.2">
      <c r="A199" s="29">
        <v>45917</v>
      </c>
      <c r="B199" t="s">
        <v>65</v>
      </c>
      <c r="C199" t="s">
        <v>61</v>
      </c>
      <c r="D199">
        <v>34</v>
      </c>
      <c r="E199">
        <v>33</v>
      </c>
      <c r="F199">
        <v>31</v>
      </c>
      <c r="G199">
        <v>26</v>
      </c>
      <c r="H199">
        <v>18</v>
      </c>
      <c r="I199">
        <v>31</v>
      </c>
    </row>
    <row r="200" spans="1:9" x14ac:dyDescent="0.2">
      <c r="A200" s="29">
        <v>45918</v>
      </c>
      <c r="B200" t="s">
        <v>66</v>
      </c>
      <c r="C200" t="s">
        <v>59</v>
      </c>
      <c r="D200">
        <v>30</v>
      </c>
      <c r="E200">
        <v>32</v>
      </c>
      <c r="F200">
        <v>31</v>
      </c>
      <c r="G200">
        <v>28</v>
      </c>
      <c r="H200">
        <v>14</v>
      </c>
      <c r="I200">
        <v>31</v>
      </c>
    </row>
    <row r="201" spans="1:9" x14ac:dyDescent="0.2">
      <c r="A201" s="29">
        <v>45918</v>
      </c>
      <c r="B201" t="s">
        <v>66</v>
      </c>
      <c r="C201" t="s">
        <v>60</v>
      </c>
      <c r="D201">
        <v>23</v>
      </c>
      <c r="E201">
        <v>14</v>
      </c>
      <c r="F201">
        <v>14</v>
      </c>
      <c r="G201">
        <v>14</v>
      </c>
      <c r="H201">
        <v>7</v>
      </c>
      <c r="I201">
        <v>14</v>
      </c>
    </row>
    <row r="202" spans="1:9" x14ac:dyDescent="0.2">
      <c r="A202" s="29">
        <v>45918</v>
      </c>
      <c r="B202" t="s">
        <v>66</v>
      </c>
      <c r="C202" t="s">
        <v>61</v>
      </c>
      <c r="D202">
        <v>34</v>
      </c>
      <c r="E202">
        <v>33</v>
      </c>
      <c r="F202">
        <v>31</v>
      </c>
      <c r="G202">
        <v>26</v>
      </c>
      <c r="H202">
        <v>18</v>
      </c>
      <c r="I202">
        <v>31</v>
      </c>
    </row>
    <row r="203" spans="1:9" x14ac:dyDescent="0.2">
      <c r="A203" s="29">
        <v>45919</v>
      </c>
      <c r="B203" t="s">
        <v>67</v>
      </c>
      <c r="C203" t="s">
        <v>59</v>
      </c>
      <c r="D203">
        <v>32</v>
      </c>
      <c r="E203">
        <v>33</v>
      </c>
      <c r="F203">
        <v>31</v>
      </c>
      <c r="G203">
        <v>26</v>
      </c>
      <c r="H203">
        <v>13</v>
      </c>
      <c r="I203">
        <v>31</v>
      </c>
    </row>
    <row r="204" spans="1:9" x14ac:dyDescent="0.2">
      <c r="A204" s="29">
        <v>45919</v>
      </c>
      <c r="B204" t="s">
        <v>67</v>
      </c>
      <c r="C204" t="s">
        <v>60</v>
      </c>
      <c r="D204">
        <v>29</v>
      </c>
      <c r="E204">
        <v>18</v>
      </c>
      <c r="F204">
        <v>16</v>
      </c>
      <c r="G204">
        <v>14</v>
      </c>
      <c r="H204">
        <v>5</v>
      </c>
      <c r="I204">
        <v>16</v>
      </c>
    </row>
    <row r="205" spans="1:9" x14ac:dyDescent="0.2">
      <c r="A205" s="29">
        <v>45919</v>
      </c>
      <c r="B205" t="s">
        <v>67</v>
      </c>
      <c r="C205" t="s">
        <v>61</v>
      </c>
      <c r="D205">
        <v>34</v>
      </c>
      <c r="E205">
        <v>37</v>
      </c>
      <c r="F205">
        <v>32</v>
      </c>
      <c r="G205">
        <v>28</v>
      </c>
      <c r="H205">
        <v>11</v>
      </c>
      <c r="I205">
        <v>32</v>
      </c>
    </row>
    <row r="206" spans="1:9" x14ac:dyDescent="0.2">
      <c r="A206" s="29">
        <v>45920</v>
      </c>
      <c r="B206" t="s">
        <v>68</v>
      </c>
      <c r="C206" t="s">
        <v>59</v>
      </c>
      <c r="D206">
        <v>34</v>
      </c>
      <c r="E206">
        <v>29</v>
      </c>
      <c r="F206">
        <v>26</v>
      </c>
      <c r="G206">
        <v>24</v>
      </c>
      <c r="H206">
        <v>14</v>
      </c>
      <c r="I206">
        <v>26</v>
      </c>
    </row>
    <row r="207" spans="1:9" x14ac:dyDescent="0.2">
      <c r="A207" s="29">
        <v>45920</v>
      </c>
      <c r="B207" t="s">
        <v>68</v>
      </c>
      <c r="C207" t="s">
        <v>60</v>
      </c>
      <c r="D207">
        <v>32</v>
      </c>
      <c r="E207">
        <v>13</v>
      </c>
      <c r="F207">
        <v>11</v>
      </c>
      <c r="G207">
        <v>11</v>
      </c>
      <c r="H207">
        <v>6</v>
      </c>
      <c r="I207">
        <v>11</v>
      </c>
    </row>
    <row r="208" spans="1:9" x14ac:dyDescent="0.2">
      <c r="A208" s="29">
        <v>45920</v>
      </c>
      <c r="B208" t="s">
        <v>68</v>
      </c>
      <c r="C208" t="s">
        <v>61</v>
      </c>
      <c r="D208" t="s">
        <v>62</v>
      </c>
      <c r="E208" t="s">
        <v>62</v>
      </c>
      <c r="F208" t="s">
        <v>62</v>
      </c>
      <c r="G208" t="s">
        <v>62</v>
      </c>
      <c r="H208" t="s">
        <v>62</v>
      </c>
      <c r="I208" t="s">
        <v>62</v>
      </c>
    </row>
    <row r="209" spans="1:9" x14ac:dyDescent="0.2">
      <c r="A209" s="29">
        <v>45921</v>
      </c>
      <c r="B209" t="s">
        <v>69</v>
      </c>
      <c r="C209" t="s">
        <v>59</v>
      </c>
      <c r="D209">
        <v>36</v>
      </c>
      <c r="E209">
        <v>21</v>
      </c>
      <c r="F209">
        <v>19</v>
      </c>
      <c r="G209">
        <v>17</v>
      </c>
      <c r="H209">
        <v>8</v>
      </c>
      <c r="I209">
        <v>19</v>
      </c>
    </row>
    <row r="210" spans="1:9" x14ac:dyDescent="0.2">
      <c r="A210" s="29">
        <v>45921</v>
      </c>
      <c r="B210" t="s">
        <v>69</v>
      </c>
      <c r="C210" t="s">
        <v>60</v>
      </c>
      <c r="D210" t="s">
        <v>62</v>
      </c>
      <c r="E210" t="s">
        <v>62</v>
      </c>
      <c r="F210" t="s">
        <v>62</v>
      </c>
      <c r="G210" t="s">
        <v>62</v>
      </c>
      <c r="H210" t="s">
        <v>62</v>
      </c>
      <c r="I210" t="s">
        <v>62</v>
      </c>
    </row>
    <row r="211" spans="1:9" x14ac:dyDescent="0.2">
      <c r="A211" s="29">
        <v>45921</v>
      </c>
      <c r="B211" t="s">
        <v>69</v>
      </c>
      <c r="C211" t="s">
        <v>61</v>
      </c>
      <c r="D211">
        <v>33</v>
      </c>
      <c r="E211">
        <v>32</v>
      </c>
      <c r="F211">
        <v>28</v>
      </c>
      <c r="G211">
        <v>25</v>
      </c>
      <c r="H211">
        <v>16</v>
      </c>
      <c r="I211">
        <v>28</v>
      </c>
    </row>
    <row r="212" spans="1:9" x14ac:dyDescent="0.2">
      <c r="A212" s="29">
        <v>45922</v>
      </c>
      <c r="B212" t="s">
        <v>63</v>
      </c>
      <c r="C212" t="s">
        <v>59</v>
      </c>
      <c r="D212">
        <v>30</v>
      </c>
      <c r="E212">
        <v>29</v>
      </c>
      <c r="F212">
        <v>27</v>
      </c>
      <c r="G212">
        <v>25</v>
      </c>
      <c r="H212">
        <v>17</v>
      </c>
      <c r="I212">
        <v>27</v>
      </c>
    </row>
    <row r="213" spans="1:9" x14ac:dyDescent="0.2">
      <c r="A213" s="29">
        <v>45922</v>
      </c>
      <c r="B213" t="s">
        <v>63</v>
      </c>
      <c r="C213" t="s">
        <v>60</v>
      </c>
      <c r="D213">
        <v>27</v>
      </c>
      <c r="E213">
        <v>17</v>
      </c>
      <c r="F213">
        <v>15</v>
      </c>
      <c r="G213">
        <v>15</v>
      </c>
      <c r="H213">
        <v>12</v>
      </c>
      <c r="I213">
        <v>15</v>
      </c>
    </row>
    <row r="214" spans="1:9" x14ac:dyDescent="0.2">
      <c r="A214" s="29">
        <v>45922</v>
      </c>
      <c r="B214" t="s">
        <v>63</v>
      </c>
      <c r="C214" t="s">
        <v>61</v>
      </c>
      <c r="D214">
        <v>29</v>
      </c>
      <c r="E214">
        <v>34</v>
      </c>
      <c r="F214">
        <v>30</v>
      </c>
      <c r="G214">
        <v>26</v>
      </c>
      <c r="H214">
        <v>17</v>
      </c>
      <c r="I214">
        <v>30</v>
      </c>
    </row>
    <row r="215" spans="1:9" x14ac:dyDescent="0.2">
      <c r="A215" s="29">
        <v>45923</v>
      </c>
      <c r="B215" t="s">
        <v>64</v>
      </c>
      <c r="C215" t="s">
        <v>59</v>
      </c>
      <c r="D215">
        <v>31</v>
      </c>
      <c r="E215">
        <v>30</v>
      </c>
      <c r="F215">
        <v>28</v>
      </c>
      <c r="G215">
        <v>26</v>
      </c>
      <c r="H215">
        <v>18</v>
      </c>
      <c r="I215">
        <v>28</v>
      </c>
    </row>
    <row r="216" spans="1:9" x14ac:dyDescent="0.2">
      <c r="A216" s="29">
        <v>45923</v>
      </c>
      <c r="B216" t="s">
        <v>64</v>
      </c>
      <c r="C216" t="s">
        <v>60</v>
      </c>
      <c r="D216">
        <v>24</v>
      </c>
      <c r="E216">
        <v>16</v>
      </c>
      <c r="F216">
        <v>15</v>
      </c>
      <c r="G216">
        <v>13</v>
      </c>
      <c r="H216">
        <v>10</v>
      </c>
      <c r="I216">
        <v>15</v>
      </c>
    </row>
    <row r="217" spans="1:9" x14ac:dyDescent="0.2">
      <c r="A217" s="29">
        <v>45923</v>
      </c>
      <c r="B217" t="s">
        <v>64</v>
      </c>
      <c r="C217" t="s">
        <v>61</v>
      </c>
      <c r="D217">
        <v>33</v>
      </c>
      <c r="E217">
        <v>33</v>
      </c>
      <c r="F217">
        <v>31</v>
      </c>
      <c r="G217">
        <v>26</v>
      </c>
      <c r="H217">
        <v>18</v>
      </c>
      <c r="I217">
        <v>31</v>
      </c>
    </row>
    <row r="218" spans="1:9" x14ac:dyDescent="0.2">
      <c r="A218" s="29">
        <v>45924</v>
      </c>
      <c r="B218" t="s">
        <v>65</v>
      </c>
      <c r="C218" t="s">
        <v>59</v>
      </c>
      <c r="D218">
        <v>29</v>
      </c>
      <c r="E218">
        <v>30</v>
      </c>
      <c r="F218">
        <v>28</v>
      </c>
      <c r="G218">
        <v>26</v>
      </c>
      <c r="H218">
        <v>16</v>
      </c>
      <c r="I218">
        <v>28</v>
      </c>
    </row>
    <row r="219" spans="1:9" x14ac:dyDescent="0.2">
      <c r="A219" s="29">
        <v>45924</v>
      </c>
      <c r="B219" t="s">
        <v>65</v>
      </c>
      <c r="C219" t="s">
        <v>60</v>
      </c>
      <c r="D219">
        <v>29</v>
      </c>
      <c r="E219">
        <v>15</v>
      </c>
      <c r="F219">
        <v>14</v>
      </c>
      <c r="G219">
        <v>13</v>
      </c>
      <c r="H219">
        <v>9</v>
      </c>
      <c r="I219">
        <v>14</v>
      </c>
    </row>
    <row r="220" spans="1:9" x14ac:dyDescent="0.2">
      <c r="A220" s="29">
        <v>45924</v>
      </c>
      <c r="B220" t="s">
        <v>65</v>
      </c>
      <c r="C220" t="s">
        <v>61</v>
      </c>
      <c r="D220">
        <v>34</v>
      </c>
      <c r="E220">
        <v>31</v>
      </c>
      <c r="F220">
        <v>29</v>
      </c>
      <c r="G220">
        <v>27</v>
      </c>
      <c r="H220">
        <v>23</v>
      </c>
      <c r="I220">
        <v>29</v>
      </c>
    </row>
    <row r="221" spans="1:9" x14ac:dyDescent="0.2">
      <c r="A221" s="29">
        <v>45925</v>
      </c>
      <c r="B221" t="s">
        <v>66</v>
      </c>
      <c r="C221" t="s">
        <v>59</v>
      </c>
      <c r="D221">
        <v>28</v>
      </c>
      <c r="E221">
        <v>28</v>
      </c>
      <c r="F221">
        <v>27</v>
      </c>
      <c r="G221">
        <v>22</v>
      </c>
      <c r="H221">
        <v>12</v>
      </c>
      <c r="I221">
        <v>27</v>
      </c>
    </row>
    <row r="222" spans="1:9" x14ac:dyDescent="0.2">
      <c r="A222" s="29">
        <v>45925</v>
      </c>
      <c r="B222" t="s">
        <v>66</v>
      </c>
      <c r="C222" t="s">
        <v>60</v>
      </c>
      <c r="D222">
        <v>25</v>
      </c>
      <c r="E222">
        <v>18</v>
      </c>
      <c r="F222">
        <v>17</v>
      </c>
      <c r="G222">
        <v>16</v>
      </c>
      <c r="H222">
        <v>8</v>
      </c>
      <c r="I222">
        <v>17</v>
      </c>
    </row>
    <row r="223" spans="1:9" x14ac:dyDescent="0.2">
      <c r="A223" s="29">
        <v>45925</v>
      </c>
      <c r="B223" t="s">
        <v>66</v>
      </c>
      <c r="C223" t="s">
        <v>61</v>
      </c>
      <c r="D223">
        <v>32</v>
      </c>
      <c r="E223">
        <v>34</v>
      </c>
      <c r="F223">
        <v>30</v>
      </c>
      <c r="G223">
        <v>27</v>
      </c>
      <c r="H223">
        <v>11</v>
      </c>
      <c r="I223">
        <v>30</v>
      </c>
    </row>
    <row r="224" spans="1:9" x14ac:dyDescent="0.2">
      <c r="A224" s="29">
        <v>45926</v>
      </c>
      <c r="B224" t="s">
        <v>67</v>
      </c>
      <c r="C224" t="s">
        <v>59</v>
      </c>
      <c r="D224">
        <v>35</v>
      </c>
      <c r="E224">
        <v>30</v>
      </c>
      <c r="F224">
        <v>28</v>
      </c>
      <c r="G224">
        <v>25</v>
      </c>
      <c r="H224">
        <v>17</v>
      </c>
      <c r="I224">
        <v>28</v>
      </c>
    </row>
    <row r="225" spans="1:9" x14ac:dyDescent="0.2">
      <c r="A225" s="29">
        <v>45926</v>
      </c>
      <c r="B225" t="s">
        <v>67</v>
      </c>
      <c r="C225" t="s">
        <v>60</v>
      </c>
      <c r="D225">
        <v>33</v>
      </c>
      <c r="E225">
        <v>17</v>
      </c>
      <c r="F225">
        <v>14</v>
      </c>
      <c r="G225">
        <v>12</v>
      </c>
      <c r="H225">
        <v>9</v>
      </c>
      <c r="I225">
        <v>14</v>
      </c>
    </row>
    <row r="226" spans="1:9" x14ac:dyDescent="0.2">
      <c r="A226" s="29">
        <v>45926</v>
      </c>
      <c r="B226" t="s">
        <v>67</v>
      </c>
      <c r="C226" t="s">
        <v>61</v>
      </c>
      <c r="D226">
        <v>36</v>
      </c>
      <c r="E226">
        <v>32</v>
      </c>
      <c r="F226">
        <v>29</v>
      </c>
      <c r="G226">
        <v>26</v>
      </c>
      <c r="H226">
        <v>4</v>
      </c>
      <c r="I226">
        <v>29</v>
      </c>
    </row>
    <row r="227" spans="1:9" x14ac:dyDescent="0.2">
      <c r="A227" s="29">
        <v>45927</v>
      </c>
      <c r="B227" t="s">
        <v>68</v>
      </c>
      <c r="C227" t="s">
        <v>59</v>
      </c>
      <c r="D227">
        <v>36</v>
      </c>
      <c r="E227">
        <v>24</v>
      </c>
      <c r="F227">
        <v>25</v>
      </c>
      <c r="G227">
        <v>21</v>
      </c>
      <c r="H227">
        <v>15</v>
      </c>
      <c r="I227">
        <v>24</v>
      </c>
    </row>
    <row r="228" spans="1:9" x14ac:dyDescent="0.2">
      <c r="A228" s="29">
        <v>45927</v>
      </c>
      <c r="B228" t="s">
        <v>68</v>
      </c>
      <c r="C228" t="s">
        <v>60</v>
      </c>
      <c r="D228">
        <v>36</v>
      </c>
      <c r="E228">
        <v>11</v>
      </c>
      <c r="F228">
        <v>11</v>
      </c>
      <c r="G228">
        <v>8</v>
      </c>
      <c r="H228">
        <v>4</v>
      </c>
      <c r="I228">
        <v>11</v>
      </c>
    </row>
    <row r="229" spans="1:9" x14ac:dyDescent="0.2">
      <c r="A229" s="29">
        <v>45927</v>
      </c>
      <c r="B229" t="s">
        <v>68</v>
      </c>
      <c r="C229" t="s">
        <v>61</v>
      </c>
      <c r="D229" t="s">
        <v>62</v>
      </c>
      <c r="E229" t="s">
        <v>62</v>
      </c>
      <c r="F229" t="s">
        <v>62</v>
      </c>
      <c r="G229" t="s">
        <v>62</v>
      </c>
      <c r="H229" t="s">
        <v>62</v>
      </c>
      <c r="I229" t="s">
        <v>62</v>
      </c>
    </row>
    <row r="230" spans="1:9" x14ac:dyDescent="0.2">
      <c r="A230" s="29">
        <v>45928</v>
      </c>
      <c r="B230" t="s">
        <v>69</v>
      </c>
      <c r="C230" t="s">
        <v>59</v>
      </c>
      <c r="D230">
        <v>31</v>
      </c>
      <c r="E230">
        <v>20</v>
      </c>
      <c r="F230">
        <v>18</v>
      </c>
      <c r="G230">
        <v>17</v>
      </c>
      <c r="H230">
        <v>10</v>
      </c>
      <c r="I230">
        <v>18</v>
      </c>
    </row>
    <row r="231" spans="1:9" x14ac:dyDescent="0.2">
      <c r="A231" s="29">
        <v>45928</v>
      </c>
      <c r="B231" t="s">
        <v>69</v>
      </c>
      <c r="C231" t="s">
        <v>60</v>
      </c>
      <c r="D231" t="s">
        <v>62</v>
      </c>
      <c r="E231" t="s">
        <v>62</v>
      </c>
      <c r="F231" t="s">
        <v>62</v>
      </c>
      <c r="G231" t="s">
        <v>62</v>
      </c>
      <c r="H231" t="s">
        <v>62</v>
      </c>
      <c r="I231" t="s">
        <v>62</v>
      </c>
    </row>
    <row r="232" spans="1:9" x14ac:dyDescent="0.2">
      <c r="A232" s="29">
        <v>45928</v>
      </c>
      <c r="B232" t="s">
        <v>69</v>
      </c>
      <c r="C232" t="s">
        <v>61</v>
      </c>
      <c r="D232">
        <v>32</v>
      </c>
      <c r="E232">
        <v>31</v>
      </c>
      <c r="F232">
        <v>27</v>
      </c>
      <c r="G232">
        <v>26</v>
      </c>
      <c r="H232">
        <v>15</v>
      </c>
      <c r="I232">
        <v>27</v>
      </c>
    </row>
    <row r="233" spans="1:9" x14ac:dyDescent="0.2">
      <c r="A233" s="29">
        <v>45929</v>
      </c>
      <c r="B233" t="s">
        <v>63</v>
      </c>
      <c r="C233" t="s">
        <v>59</v>
      </c>
      <c r="D233">
        <v>32</v>
      </c>
      <c r="E233">
        <v>25</v>
      </c>
      <c r="F233">
        <v>23</v>
      </c>
      <c r="G233">
        <v>22</v>
      </c>
      <c r="H233">
        <v>25</v>
      </c>
      <c r="I233">
        <v>23</v>
      </c>
    </row>
    <row r="234" spans="1:9" x14ac:dyDescent="0.2">
      <c r="A234" s="29">
        <v>45929</v>
      </c>
      <c r="B234" t="s">
        <v>63</v>
      </c>
      <c r="C234" t="s">
        <v>60</v>
      </c>
      <c r="D234">
        <v>28</v>
      </c>
      <c r="E234">
        <v>20</v>
      </c>
      <c r="F234">
        <v>16</v>
      </c>
      <c r="G234">
        <v>15</v>
      </c>
      <c r="H234">
        <v>11</v>
      </c>
      <c r="I234">
        <v>16</v>
      </c>
    </row>
    <row r="235" spans="1:9" x14ac:dyDescent="0.2">
      <c r="A235" s="29">
        <v>45929</v>
      </c>
      <c r="B235" t="s">
        <v>63</v>
      </c>
      <c r="C235" t="s">
        <v>61</v>
      </c>
      <c r="D235">
        <v>36</v>
      </c>
      <c r="E235">
        <v>34</v>
      </c>
      <c r="F235">
        <v>31</v>
      </c>
      <c r="G235">
        <v>27</v>
      </c>
      <c r="H235">
        <v>19</v>
      </c>
      <c r="I235">
        <v>31</v>
      </c>
    </row>
    <row r="236" spans="1:9" x14ac:dyDescent="0.2">
      <c r="A236" s="29">
        <v>45930</v>
      </c>
      <c r="B236" t="s">
        <v>64</v>
      </c>
      <c r="C236" t="s">
        <v>59</v>
      </c>
      <c r="D236">
        <v>33</v>
      </c>
      <c r="E236">
        <v>28</v>
      </c>
      <c r="F236">
        <v>27</v>
      </c>
      <c r="G236">
        <v>26</v>
      </c>
      <c r="H236">
        <v>25</v>
      </c>
      <c r="I236">
        <v>27</v>
      </c>
    </row>
    <row r="237" spans="1:9" x14ac:dyDescent="0.2">
      <c r="A237" s="29">
        <v>45930</v>
      </c>
      <c r="B237" t="s">
        <v>64</v>
      </c>
      <c r="C237" t="s">
        <v>60</v>
      </c>
      <c r="D237">
        <v>22</v>
      </c>
      <c r="E237">
        <v>19</v>
      </c>
      <c r="F237">
        <v>18</v>
      </c>
      <c r="G237">
        <v>16</v>
      </c>
      <c r="H237">
        <v>11</v>
      </c>
      <c r="I237">
        <v>18</v>
      </c>
    </row>
    <row r="238" spans="1:9" x14ac:dyDescent="0.2">
      <c r="A238" s="29">
        <v>45930</v>
      </c>
      <c r="B238" t="s">
        <v>64</v>
      </c>
      <c r="C238" t="s">
        <v>61</v>
      </c>
      <c r="D238">
        <v>31</v>
      </c>
      <c r="E238">
        <v>31</v>
      </c>
      <c r="F238">
        <v>27</v>
      </c>
      <c r="G238">
        <v>25</v>
      </c>
      <c r="H238">
        <v>15</v>
      </c>
      <c r="I238">
        <v>27</v>
      </c>
    </row>
    <row r="239" spans="1:9" x14ac:dyDescent="0.2">
      <c r="A239" s="29">
        <v>45931</v>
      </c>
      <c r="B239" t="s">
        <v>65</v>
      </c>
      <c r="C239" t="s">
        <v>59</v>
      </c>
      <c r="D239">
        <v>26</v>
      </c>
      <c r="E239">
        <v>29</v>
      </c>
      <c r="F239">
        <v>26</v>
      </c>
      <c r="G239">
        <v>23</v>
      </c>
      <c r="H239">
        <v>14</v>
      </c>
      <c r="I239">
        <v>26</v>
      </c>
    </row>
    <row r="240" spans="1:9" x14ac:dyDescent="0.2">
      <c r="A240" s="29">
        <v>45931</v>
      </c>
      <c r="B240" t="s">
        <v>65</v>
      </c>
      <c r="C240" t="s">
        <v>60</v>
      </c>
      <c r="D240">
        <v>18</v>
      </c>
      <c r="E240">
        <v>18</v>
      </c>
      <c r="F240">
        <v>14</v>
      </c>
      <c r="G240">
        <v>13</v>
      </c>
      <c r="H240">
        <v>9</v>
      </c>
      <c r="I240">
        <v>14</v>
      </c>
    </row>
    <row r="241" spans="1:9" x14ac:dyDescent="0.2">
      <c r="A241" s="29">
        <v>45931</v>
      </c>
      <c r="B241" t="s">
        <v>65</v>
      </c>
      <c r="C241" t="s">
        <v>61</v>
      </c>
      <c r="D241">
        <v>23</v>
      </c>
      <c r="E241">
        <v>29</v>
      </c>
      <c r="F241">
        <v>28</v>
      </c>
      <c r="G241">
        <v>22</v>
      </c>
      <c r="H241">
        <v>11</v>
      </c>
      <c r="I241">
        <v>28</v>
      </c>
    </row>
    <row r="242" spans="1:9" x14ac:dyDescent="0.2">
      <c r="A242" s="29">
        <v>45932</v>
      </c>
      <c r="B242" t="s">
        <v>66</v>
      </c>
      <c r="C242" t="s">
        <v>59</v>
      </c>
      <c r="D242">
        <v>23</v>
      </c>
      <c r="E242">
        <v>26</v>
      </c>
      <c r="F242">
        <v>23</v>
      </c>
      <c r="G242">
        <v>21</v>
      </c>
      <c r="H242">
        <v>21</v>
      </c>
      <c r="I242">
        <v>23</v>
      </c>
    </row>
    <row r="243" spans="1:9" x14ac:dyDescent="0.2">
      <c r="A243" s="29">
        <v>45932</v>
      </c>
      <c r="B243" t="s">
        <v>66</v>
      </c>
      <c r="C243" t="s">
        <v>60</v>
      </c>
      <c r="D243">
        <v>24</v>
      </c>
      <c r="E243">
        <v>20</v>
      </c>
      <c r="F243">
        <v>14</v>
      </c>
      <c r="G243">
        <v>14</v>
      </c>
      <c r="H243">
        <v>9</v>
      </c>
      <c r="I243">
        <v>14</v>
      </c>
    </row>
    <row r="244" spans="1:9" x14ac:dyDescent="0.2">
      <c r="A244" s="29">
        <v>45932</v>
      </c>
      <c r="B244" t="s">
        <v>66</v>
      </c>
      <c r="C244" t="s">
        <v>61</v>
      </c>
      <c r="D244">
        <v>26</v>
      </c>
      <c r="E244">
        <v>28</v>
      </c>
      <c r="F244">
        <v>30</v>
      </c>
      <c r="G244">
        <v>23</v>
      </c>
      <c r="H244">
        <v>19</v>
      </c>
      <c r="I244">
        <v>28</v>
      </c>
    </row>
    <row r="245" spans="1:9" x14ac:dyDescent="0.2">
      <c r="A245" s="29">
        <v>45933</v>
      </c>
      <c r="B245" t="s">
        <v>67</v>
      </c>
      <c r="C245" t="s">
        <v>59</v>
      </c>
      <c r="D245">
        <v>25</v>
      </c>
      <c r="E245">
        <v>31</v>
      </c>
      <c r="F245">
        <v>24</v>
      </c>
      <c r="G245">
        <v>22</v>
      </c>
      <c r="H245">
        <v>18</v>
      </c>
      <c r="I245">
        <v>24</v>
      </c>
    </row>
    <row r="246" spans="1:9" x14ac:dyDescent="0.2">
      <c r="A246" s="29">
        <v>45933</v>
      </c>
      <c r="B246" t="s">
        <v>67</v>
      </c>
      <c r="C246" t="s">
        <v>60</v>
      </c>
      <c r="D246">
        <v>24</v>
      </c>
      <c r="E246">
        <v>20</v>
      </c>
      <c r="F246">
        <v>17</v>
      </c>
      <c r="G246">
        <v>16</v>
      </c>
      <c r="H246">
        <v>12</v>
      </c>
      <c r="I246">
        <v>17</v>
      </c>
    </row>
    <row r="247" spans="1:9" x14ac:dyDescent="0.2">
      <c r="A247" s="29">
        <v>45933</v>
      </c>
      <c r="B247" t="s">
        <v>67</v>
      </c>
      <c r="C247" t="s">
        <v>61</v>
      </c>
      <c r="D247">
        <v>27</v>
      </c>
      <c r="E247">
        <v>28</v>
      </c>
      <c r="F247">
        <v>30</v>
      </c>
      <c r="G247">
        <v>24</v>
      </c>
      <c r="H247">
        <v>18</v>
      </c>
      <c r="I247">
        <v>28</v>
      </c>
    </row>
    <row r="248" spans="1:9" x14ac:dyDescent="0.2">
      <c r="A248" s="29">
        <v>45934</v>
      </c>
      <c r="B248" t="s">
        <v>68</v>
      </c>
      <c r="C248" t="s">
        <v>59</v>
      </c>
      <c r="D248">
        <v>27</v>
      </c>
      <c r="E248">
        <v>26</v>
      </c>
      <c r="F248">
        <v>24</v>
      </c>
      <c r="G248">
        <v>23</v>
      </c>
      <c r="H248">
        <v>21</v>
      </c>
      <c r="I248">
        <v>24</v>
      </c>
    </row>
    <row r="249" spans="1:9" x14ac:dyDescent="0.2">
      <c r="A249" s="29">
        <v>45934</v>
      </c>
      <c r="B249" t="s">
        <v>68</v>
      </c>
      <c r="C249" t="s">
        <v>60</v>
      </c>
      <c r="D249">
        <v>25</v>
      </c>
      <c r="E249">
        <v>11</v>
      </c>
      <c r="F249">
        <v>11</v>
      </c>
      <c r="G249">
        <v>11</v>
      </c>
      <c r="H249">
        <v>6</v>
      </c>
      <c r="I249">
        <v>11</v>
      </c>
    </row>
    <row r="250" spans="1:9" x14ac:dyDescent="0.2">
      <c r="A250" s="29">
        <v>45934</v>
      </c>
      <c r="B250" t="s">
        <v>68</v>
      </c>
      <c r="C250" t="s">
        <v>61</v>
      </c>
      <c r="D250" t="s">
        <v>62</v>
      </c>
      <c r="E250" t="s">
        <v>62</v>
      </c>
      <c r="F250" t="s">
        <v>62</v>
      </c>
      <c r="G250" t="s">
        <v>62</v>
      </c>
      <c r="H250" t="s">
        <v>62</v>
      </c>
      <c r="I250" t="s">
        <v>62</v>
      </c>
    </row>
    <row r="251" spans="1:9" x14ac:dyDescent="0.2">
      <c r="A251" s="29">
        <v>45935</v>
      </c>
      <c r="B251" t="s">
        <v>69</v>
      </c>
      <c r="C251" t="s">
        <v>59</v>
      </c>
      <c r="D251">
        <v>33</v>
      </c>
      <c r="E251">
        <v>19</v>
      </c>
      <c r="F251">
        <v>14</v>
      </c>
      <c r="G251">
        <v>14</v>
      </c>
      <c r="H251">
        <v>10</v>
      </c>
      <c r="I251">
        <v>14</v>
      </c>
    </row>
    <row r="252" spans="1:9" x14ac:dyDescent="0.2">
      <c r="A252" s="29">
        <v>45935</v>
      </c>
      <c r="B252" t="s">
        <v>69</v>
      </c>
      <c r="C252" t="s">
        <v>60</v>
      </c>
      <c r="D252" t="s">
        <v>62</v>
      </c>
      <c r="E252" t="s">
        <v>62</v>
      </c>
      <c r="F252" t="s">
        <v>62</v>
      </c>
      <c r="G252" t="s">
        <v>62</v>
      </c>
      <c r="H252" t="s">
        <v>62</v>
      </c>
      <c r="I252" t="s">
        <v>62</v>
      </c>
    </row>
    <row r="253" spans="1:9" x14ac:dyDescent="0.2">
      <c r="A253" s="29">
        <v>45935</v>
      </c>
      <c r="B253" t="s">
        <v>69</v>
      </c>
      <c r="C253" t="s">
        <v>61</v>
      </c>
      <c r="D253">
        <v>25</v>
      </c>
      <c r="E253">
        <v>29</v>
      </c>
      <c r="F253">
        <v>29</v>
      </c>
      <c r="G253">
        <v>25</v>
      </c>
      <c r="H253">
        <v>25</v>
      </c>
      <c r="I253">
        <v>29</v>
      </c>
    </row>
    <row r="254" spans="1:9" x14ac:dyDescent="0.2">
      <c r="A254" s="29">
        <v>45936</v>
      </c>
      <c r="B254" t="s">
        <v>63</v>
      </c>
      <c r="C254" t="s">
        <v>59</v>
      </c>
      <c r="D254">
        <v>22</v>
      </c>
      <c r="E254">
        <v>30</v>
      </c>
      <c r="F254">
        <v>22</v>
      </c>
      <c r="G254">
        <v>18</v>
      </c>
      <c r="H254">
        <v>15</v>
      </c>
      <c r="I254">
        <v>22</v>
      </c>
    </row>
    <row r="255" spans="1:9" x14ac:dyDescent="0.2">
      <c r="A255" s="29">
        <v>45936</v>
      </c>
      <c r="B255" t="s">
        <v>63</v>
      </c>
      <c r="C255" t="s">
        <v>60</v>
      </c>
      <c r="D255">
        <v>27</v>
      </c>
      <c r="E255">
        <v>18</v>
      </c>
      <c r="F255">
        <v>18</v>
      </c>
      <c r="G255">
        <v>16</v>
      </c>
      <c r="H255">
        <v>13</v>
      </c>
      <c r="I255">
        <v>18</v>
      </c>
    </row>
    <row r="256" spans="1:9" x14ac:dyDescent="0.2">
      <c r="A256" s="29">
        <v>45936</v>
      </c>
      <c r="B256" t="s">
        <v>63</v>
      </c>
      <c r="C256" t="s">
        <v>61</v>
      </c>
      <c r="D256">
        <v>28</v>
      </c>
      <c r="E256">
        <v>28</v>
      </c>
      <c r="F256">
        <v>29</v>
      </c>
      <c r="G256">
        <v>25</v>
      </c>
      <c r="H256">
        <v>19</v>
      </c>
      <c r="I256">
        <v>28</v>
      </c>
    </row>
    <row r="257" spans="1:9" x14ac:dyDescent="0.2">
      <c r="A257" s="29">
        <v>45937</v>
      </c>
      <c r="B257" t="s">
        <v>64</v>
      </c>
      <c r="C257" t="s">
        <v>59</v>
      </c>
      <c r="D257">
        <v>27</v>
      </c>
      <c r="E257">
        <v>26</v>
      </c>
      <c r="F257">
        <v>24</v>
      </c>
      <c r="G257">
        <v>22</v>
      </c>
      <c r="H257">
        <v>16</v>
      </c>
      <c r="I257">
        <v>24</v>
      </c>
    </row>
    <row r="258" spans="1:9" x14ac:dyDescent="0.2">
      <c r="A258" s="29">
        <v>45937</v>
      </c>
      <c r="B258" t="s">
        <v>64</v>
      </c>
      <c r="C258" t="s">
        <v>60</v>
      </c>
      <c r="D258">
        <v>23</v>
      </c>
      <c r="E258">
        <v>22</v>
      </c>
      <c r="F258">
        <v>19</v>
      </c>
      <c r="G258">
        <v>18</v>
      </c>
      <c r="H258">
        <v>12</v>
      </c>
      <c r="I258">
        <v>19</v>
      </c>
    </row>
    <row r="259" spans="1:9" x14ac:dyDescent="0.2">
      <c r="A259" s="29">
        <v>45937</v>
      </c>
      <c r="B259" t="s">
        <v>64</v>
      </c>
      <c r="C259" t="s">
        <v>61</v>
      </c>
      <c r="D259">
        <v>26</v>
      </c>
      <c r="E259">
        <v>26</v>
      </c>
      <c r="F259">
        <v>32</v>
      </c>
      <c r="G259">
        <v>23</v>
      </c>
      <c r="H259">
        <v>8</v>
      </c>
      <c r="I259">
        <v>26</v>
      </c>
    </row>
    <row r="260" spans="1:9" x14ac:dyDescent="0.2">
      <c r="A260" s="29">
        <v>45938</v>
      </c>
      <c r="B260" t="s">
        <v>65</v>
      </c>
      <c r="C260" t="s">
        <v>59</v>
      </c>
      <c r="D260">
        <v>28</v>
      </c>
      <c r="E260">
        <v>28</v>
      </c>
      <c r="F260">
        <v>25</v>
      </c>
      <c r="G260">
        <v>23</v>
      </c>
      <c r="H260">
        <v>7</v>
      </c>
      <c r="I260">
        <v>25</v>
      </c>
    </row>
    <row r="261" spans="1:9" x14ac:dyDescent="0.2">
      <c r="A261" s="29">
        <v>45938</v>
      </c>
      <c r="B261" t="s">
        <v>65</v>
      </c>
      <c r="C261" t="s">
        <v>60</v>
      </c>
      <c r="D261">
        <v>28</v>
      </c>
      <c r="E261">
        <v>21</v>
      </c>
      <c r="F261">
        <v>16</v>
      </c>
      <c r="G261">
        <v>16</v>
      </c>
      <c r="H261">
        <v>12</v>
      </c>
      <c r="I261">
        <v>16</v>
      </c>
    </row>
    <row r="262" spans="1:9" x14ac:dyDescent="0.2">
      <c r="A262" s="29">
        <v>45938</v>
      </c>
      <c r="B262" t="s">
        <v>65</v>
      </c>
      <c r="C262" t="s">
        <v>61</v>
      </c>
      <c r="D262">
        <v>28</v>
      </c>
      <c r="E262">
        <v>29</v>
      </c>
      <c r="F262">
        <v>27</v>
      </c>
      <c r="G262">
        <v>24</v>
      </c>
      <c r="H262">
        <v>14</v>
      </c>
      <c r="I262">
        <v>27</v>
      </c>
    </row>
    <row r="263" spans="1:9" x14ac:dyDescent="0.2">
      <c r="A263" s="29">
        <v>45939</v>
      </c>
      <c r="B263" t="s">
        <v>66</v>
      </c>
      <c r="C263" t="s">
        <v>59</v>
      </c>
      <c r="D263">
        <v>27</v>
      </c>
      <c r="E263">
        <v>28</v>
      </c>
      <c r="F263">
        <v>26</v>
      </c>
      <c r="G263">
        <v>22</v>
      </c>
      <c r="H263">
        <v>18</v>
      </c>
      <c r="I263">
        <v>26</v>
      </c>
    </row>
    <row r="264" spans="1:9" x14ac:dyDescent="0.2">
      <c r="A264" s="29">
        <v>45939</v>
      </c>
      <c r="B264" t="s">
        <v>66</v>
      </c>
      <c r="C264" t="s">
        <v>60</v>
      </c>
      <c r="D264">
        <v>24</v>
      </c>
      <c r="E264">
        <v>23</v>
      </c>
      <c r="F264">
        <v>19</v>
      </c>
      <c r="G264">
        <v>16</v>
      </c>
      <c r="H264">
        <v>10</v>
      </c>
      <c r="I264">
        <v>19</v>
      </c>
    </row>
    <row r="265" spans="1:9" x14ac:dyDescent="0.2">
      <c r="A265" s="29">
        <v>45939</v>
      </c>
      <c r="B265" t="s">
        <v>66</v>
      </c>
      <c r="C265" t="s">
        <v>61</v>
      </c>
      <c r="D265">
        <v>29</v>
      </c>
      <c r="E265">
        <v>29</v>
      </c>
      <c r="F265">
        <v>30</v>
      </c>
      <c r="G265">
        <v>25</v>
      </c>
      <c r="H265">
        <v>16</v>
      </c>
      <c r="I265">
        <v>29</v>
      </c>
    </row>
    <row r="266" spans="1:9" x14ac:dyDescent="0.2">
      <c r="A266" s="29">
        <v>45940</v>
      </c>
      <c r="B266" t="s">
        <v>67</v>
      </c>
      <c r="C266" t="s">
        <v>59</v>
      </c>
      <c r="D266">
        <v>28</v>
      </c>
      <c r="E266">
        <v>31</v>
      </c>
      <c r="F266">
        <v>26</v>
      </c>
      <c r="G266">
        <v>24</v>
      </c>
      <c r="H266">
        <v>23</v>
      </c>
      <c r="I266">
        <v>26</v>
      </c>
    </row>
    <row r="267" spans="1:9" x14ac:dyDescent="0.2">
      <c r="A267" s="29">
        <v>45940</v>
      </c>
      <c r="B267" t="s">
        <v>67</v>
      </c>
      <c r="C267" t="s">
        <v>60</v>
      </c>
      <c r="D267">
        <v>30</v>
      </c>
      <c r="E267">
        <v>22</v>
      </c>
      <c r="F267">
        <v>18</v>
      </c>
      <c r="G267">
        <v>17</v>
      </c>
      <c r="H267">
        <v>5</v>
      </c>
      <c r="I267">
        <v>18</v>
      </c>
    </row>
    <row r="268" spans="1:9" x14ac:dyDescent="0.2">
      <c r="A268" s="29">
        <v>45940</v>
      </c>
      <c r="B268" t="s">
        <v>67</v>
      </c>
      <c r="C268" t="s">
        <v>61</v>
      </c>
      <c r="D268">
        <v>32</v>
      </c>
      <c r="E268">
        <v>30</v>
      </c>
      <c r="F268">
        <v>28</v>
      </c>
      <c r="G268">
        <v>25</v>
      </c>
      <c r="H268">
        <v>16</v>
      </c>
      <c r="I268">
        <v>28</v>
      </c>
    </row>
    <row r="269" spans="1:9" x14ac:dyDescent="0.2">
      <c r="A269" s="29">
        <v>45941</v>
      </c>
      <c r="B269" t="s">
        <v>68</v>
      </c>
      <c r="C269" t="s">
        <v>59</v>
      </c>
      <c r="D269">
        <v>31</v>
      </c>
      <c r="E269">
        <v>26</v>
      </c>
      <c r="F269">
        <v>24</v>
      </c>
      <c r="G269">
        <v>22</v>
      </c>
      <c r="H269">
        <v>11</v>
      </c>
      <c r="I269">
        <v>24</v>
      </c>
    </row>
    <row r="270" spans="1:9" x14ac:dyDescent="0.2">
      <c r="A270" s="29">
        <v>45941</v>
      </c>
      <c r="B270" t="s">
        <v>68</v>
      </c>
      <c r="C270" t="s">
        <v>60</v>
      </c>
      <c r="D270">
        <v>31</v>
      </c>
      <c r="E270">
        <v>17</v>
      </c>
      <c r="F270">
        <v>13</v>
      </c>
      <c r="G270">
        <v>13</v>
      </c>
      <c r="H270">
        <v>5</v>
      </c>
      <c r="I270">
        <v>13</v>
      </c>
    </row>
    <row r="271" spans="1:9" x14ac:dyDescent="0.2">
      <c r="A271" s="29">
        <v>45941</v>
      </c>
      <c r="B271" t="s">
        <v>68</v>
      </c>
      <c r="C271" t="s">
        <v>61</v>
      </c>
      <c r="D271" t="s">
        <v>62</v>
      </c>
      <c r="E271" t="s">
        <v>62</v>
      </c>
      <c r="F271" t="s">
        <v>62</v>
      </c>
      <c r="G271" t="s">
        <v>62</v>
      </c>
      <c r="H271" t="s">
        <v>62</v>
      </c>
      <c r="I271" t="s">
        <v>62</v>
      </c>
    </row>
    <row r="272" spans="1:9" x14ac:dyDescent="0.2">
      <c r="A272" s="29">
        <v>45942</v>
      </c>
      <c r="B272" t="s">
        <v>69</v>
      </c>
      <c r="C272" t="s">
        <v>59</v>
      </c>
      <c r="D272">
        <v>31</v>
      </c>
      <c r="E272">
        <v>21</v>
      </c>
      <c r="F272">
        <v>14</v>
      </c>
      <c r="G272">
        <v>13</v>
      </c>
      <c r="H272">
        <v>7</v>
      </c>
      <c r="I272">
        <v>14</v>
      </c>
    </row>
    <row r="273" spans="1:9" x14ac:dyDescent="0.2">
      <c r="A273" s="29">
        <v>45942</v>
      </c>
      <c r="B273" t="s">
        <v>69</v>
      </c>
      <c r="C273" t="s">
        <v>60</v>
      </c>
      <c r="D273" t="s">
        <v>62</v>
      </c>
      <c r="E273" t="s">
        <v>62</v>
      </c>
      <c r="F273" t="s">
        <v>62</v>
      </c>
      <c r="G273" t="s">
        <v>62</v>
      </c>
      <c r="H273" t="s">
        <v>62</v>
      </c>
      <c r="I273" t="s">
        <v>62</v>
      </c>
    </row>
    <row r="274" spans="1:9" x14ac:dyDescent="0.2">
      <c r="A274" s="29">
        <v>45942</v>
      </c>
      <c r="B274" t="s">
        <v>69</v>
      </c>
      <c r="C274" t="s">
        <v>61</v>
      </c>
      <c r="D274">
        <v>28</v>
      </c>
      <c r="E274">
        <v>28</v>
      </c>
      <c r="F274">
        <v>26</v>
      </c>
      <c r="G274">
        <v>24</v>
      </c>
      <c r="H274">
        <v>15</v>
      </c>
      <c r="I274">
        <v>26</v>
      </c>
    </row>
    <row r="275" spans="1:9" x14ac:dyDescent="0.2">
      <c r="A275" s="29">
        <v>45943</v>
      </c>
      <c r="B275" t="s">
        <v>63</v>
      </c>
      <c r="C275" t="s">
        <v>59</v>
      </c>
      <c r="D275">
        <v>23</v>
      </c>
      <c r="E275">
        <v>31</v>
      </c>
      <c r="F275">
        <v>25</v>
      </c>
      <c r="G275">
        <v>23</v>
      </c>
      <c r="H275">
        <v>16</v>
      </c>
      <c r="I275">
        <v>25</v>
      </c>
    </row>
    <row r="276" spans="1:9" x14ac:dyDescent="0.2">
      <c r="A276" s="29">
        <v>45943</v>
      </c>
      <c r="B276" t="s">
        <v>63</v>
      </c>
      <c r="C276" t="s">
        <v>60</v>
      </c>
      <c r="D276">
        <v>27</v>
      </c>
      <c r="E276">
        <v>24</v>
      </c>
      <c r="F276">
        <v>18</v>
      </c>
      <c r="G276">
        <v>17</v>
      </c>
      <c r="H276">
        <v>11</v>
      </c>
      <c r="I276">
        <v>18</v>
      </c>
    </row>
    <row r="277" spans="1:9" x14ac:dyDescent="0.2">
      <c r="A277" s="29">
        <v>45943</v>
      </c>
      <c r="B277" t="s">
        <v>63</v>
      </c>
      <c r="C277" t="s">
        <v>61</v>
      </c>
      <c r="D277">
        <v>31</v>
      </c>
      <c r="E277">
        <v>32</v>
      </c>
      <c r="F277">
        <v>28</v>
      </c>
      <c r="G277">
        <v>27</v>
      </c>
      <c r="H277">
        <v>12</v>
      </c>
      <c r="I277">
        <v>28</v>
      </c>
    </row>
    <row r="278" spans="1:9" x14ac:dyDescent="0.2">
      <c r="A278" s="29">
        <v>45944</v>
      </c>
      <c r="B278" t="s">
        <v>64</v>
      </c>
      <c r="C278" t="s">
        <v>59</v>
      </c>
      <c r="D278">
        <v>27</v>
      </c>
      <c r="E278">
        <v>26</v>
      </c>
      <c r="F278">
        <v>23</v>
      </c>
      <c r="G278">
        <v>21</v>
      </c>
      <c r="H278">
        <v>8</v>
      </c>
      <c r="I278">
        <v>23</v>
      </c>
    </row>
    <row r="279" spans="1:9" x14ac:dyDescent="0.2">
      <c r="A279" s="29">
        <v>45944</v>
      </c>
      <c r="B279" t="s">
        <v>64</v>
      </c>
      <c r="C279" t="s">
        <v>60</v>
      </c>
      <c r="D279" t="s">
        <v>62</v>
      </c>
      <c r="E279" t="s">
        <v>62</v>
      </c>
      <c r="F279" t="s">
        <v>62</v>
      </c>
      <c r="G279" t="s">
        <v>62</v>
      </c>
      <c r="H279" t="s">
        <v>62</v>
      </c>
      <c r="I279" t="s">
        <v>62</v>
      </c>
    </row>
    <row r="280" spans="1:9" x14ac:dyDescent="0.2">
      <c r="A280" s="29">
        <v>45944</v>
      </c>
      <c r="B280" t="s">
        <v>64</v>
      </c>
      <c r="C280" t="s">
        <v>61</v>
      </c>
      <c r="D280" t="s">
        <v>62</v>
      </c>
      <c r="E280" t="s">
        <v>62</v>
      </c>
      <c r="F280" t="s">
        <v>62</v>
      </c>
      <c r="G280" t="s">
        <v>62</v>
      </c>
      <c r="H280" t="s">
        <v>62</v>
      </c>
      <c r="I280" t="s">
        <v>62</v>
      </c>
    </row>
    <row r="281" spans="1:9" x14ac:dyDescent="0.2">
      <c r="A281" s="29">
        <v>45945</v>
      </c>
      <c r="B281" t="s">
        <v>65</v>
      </c>
      <c r="C281" t="s">
        <v>59</v>
      </c>
      <c r="D281">
        <v>26</v>
      </c>
      <c r="E281">
        <v>29</v>
      </c>
      <c r="F281">
        <v>25</v>
      </c>
      <c r="G281">
        <v>19</v>
      </c>
      <c r="H281">
        <v>9</v>
      </c>
      <c r="I281">
        <v>25</v>
      </c>
    </row>
    <row r="282" spans="1:9" x14ac:dyDescent="0.2">
      <c r="A282" s="29">
        <v>45945</v>
      </c>
      <c r="B282" t="s">
        <v>65</v>
      </c>
      <c r="C282" t="s">
        <v>60</v>
      </c>
      <c r="D282">
        <v>25</v>
      </c>
      <c r="E282">
        <v>16</v>
      </c>
      <c r="F282">
        <v>15</v>
      </c>
      <c r="G282">
        <v>15</v>
      </c>
      <c r="H282">
        <v>8</v>
      </c>
      <c r="I282">
        <v>15</v>
      </c>
    </row>
    <row r="283" spans="1:9" x14ac:dyDescent="0.2">
      <c r="A283" s="29">
        <v>45945</v>
      </c>
      <c r="B283" t="s">
        <v>65</v>
      </c>
      <c r="C283" t="s">
        <v>61</v>
      </c>
      <c r="D283">
        <v>28</v>
      </c>
      <c r="E283">
        <v>27</v>
      </c>
      <c r="F283">
        <v>30</v>
      </c>
      <c r="G283">
        <v>25</v>
      </c>
      <c r="H283">
        <v>9</v>
      </c>
      <c r="I283">
        <v>27</v>
      </c>
    </row>
    <row r="284" spans="1:9" x14ac:dyDescent="0.2">
      <c r="A284" s="29">
        <v>45946</v>
      </c>
      <c r="B284" t="s">
        <v>66</v>
      </c>
      <c r="C284" t="s">
        <v>59</v>
      </c>
      <c r="D284">
        <v>25</v>
      </c>
      <c r="E284">
        <v>28</v>
      </c>
      <c r="F284">
        <v>25</v>
      </c>
      <c r="G284">
        <v>22</v>
      </c>
      <c r="H284">
        <v>18</v>
      </c>
      <c r="I284">
        <v>25</v>
      </c>
    </row>
    <row r="285" spans="1:9" x14ac:dyDescent="0.2">
      <c r="A285" s="29">
        <v>45946</v>
      </c>
      <c r="B285" t="s">
        <v>66</v>
      </c>
      <c r="C285" t="s">
        <v>60</v>
      </c>
      <c r="D285">
        <v>26</v>
      </c>
      <c r="E285">
        <v>23</v>
      </c>
      <c r="F285">
        <v>20</v>
      </c>
      <c r="G285">
        <v>16</v>
      </c>
      <c r="H285">
        <v>7</v>
      </c>
      <c r="I285">
        <v>20</v>
      </c>
    </row>
    <row r="286" spans="1:9" x14ac:dyDescent="0.2">
      <c r="A286" s="29">
        <v>45946</v>
      </c>
      <c r="B286" t="s">
        <v>66</v>
      </c>
      <c r="C286" t="s">
        <v>61</v>
      </c>
      <c r="D286">
        <v>32</v>
      </c>
      <c r="E286">
        <v>29</v>
      </c>
      <c r="F286">
        <v>30</v>
      </c>
      <c r="G286">
        <v>29</v>
      </c>
      <c r="H286">
        <v>26</v>
      </c>
      <c r="I286">
        <v>29</v>
      </c>
    </row>
    <row r="287" spans="1:9" x14ac:dyDescent="0.2">
      <c r="A287" s="29">
        <v>45947</v>
      </c>
      <c r="B287" t="s">
        <v>67</v>
      </c>
      <c r="C287" t="s">
        <v>59</v>
      </c>
      <c r="D287">
        <v>27</v>
      </c>
      <c r="E287">
        <v>32</v>
      </c>
      <c r="F287">
        <v>30</v>
      </c>
      <c r="G287">
        <v>25</v>
      </c>
      <c r="H287">
        <v>15</v>
      </c>
      <c r="I287">
        <v>30</v>
      </c>
    </row>
    <row r="288" spans="1:9" x14ac:dyDescent="0.2">
      <c r="A288" s="29">
        <v>45947</v>
      </c>
      <c r="B288" t="s">
        <v>67</v>
      </c>
      <c r="C288" t="s">
        <v>60</v>
      </c>
      <c r="D288">
        <v>26</v>
      </c>
      <c r="E288">
        <v>19</v>
      </c>
      <c r="F288">
        <v>18</v>
      </c>
      <c r="G288">
        <v>16</v>
      </c>
      <c r="H288">
        <v>9</v>
      </c>
      <c r="I288">
        <v>18</v>
      </c>
    </row>
    <row r="289" spans="1:9" x14ac:dyDescent="0.2">
      <c r="A289" s="29">
        <v>45947</v>
      </c>
      <c r="B289" t="s">
        <v>67</v>
      </c>
      <c r="C289" t="s">
        <v>61</v>
      </c>
      <c r="D289">
        <v>33</v>
      </c>
      <c r="E289">
        <v>29</v>
      </c>
      <c r="F289">
        <v>31</v>
      </c>
      <c r="G289">
        <v>27</v>
      </c>
      <c r="H289">
        <v>16</v>
      </c>
      <c r="I289">
        <v>29</v>
      </c>
    </row>
    <row r="290" spans="1:9" x14ac:dyDescent="0.2">
      <c r="A290" s="29">
        <v>45948</v>
      </c>
      <c r="B290" t="s">
        <v>68</v>
      </c>
      <c r="C290" t="s">
        <v>59</v>
      </c>
      <c r="D290">
        <v>29</v>
      </c>
      <c r="E290">
        <v>29</v>
      </c>
      <c r="F290">
        <v>31</v>
      </c>
      <c r="G290">
        <v>24</v>
      </c>
      <c r="H290">
        <v>10</v>
      </c>
      <c r="I290">
        <v>29</v>
      </c>
    </row>
    <row r="291" spans="1:9" x14ac:dyDescent="0.2">
      <c r="A291" s="29">
        <v>45948</v>
      </c>
      <c r="B291" t="s">
        <v>68</v>
      </c>
      <c r="C291" t="s">
        <v>60</v>
      </c>
      <c r="D291">
        <v>26</v>
      </c>
      <c r="E291">
        <v>10</v>
      </c>
      <c r="F291">
        <v>9</v>
      </c>
      <c r="G291">
        <v>9</v>
      </c>
      <c r="H291">
        <v>5</v>
      </c>
      <c r="I291">
        <v>9</v>
      </c>
    </row>
    <row r="292" spans="1:9" x14ac:dyDescent="0.2">
      <c r="A292" s="29">
        <v>45948</v>
      </c>
      <c r="B292" t="s">
        <v>68</v>
      </c>
      <c r="C292" t="s">
        <v>61</v>
      </c>
      <c r="D292" t="s">
        <v>62</v>
      </c>
      <c r="E292" t="s">
        <v>62</v>
      </c>
      <c r="F292" t="s">
        <v>62</v>
      </c>
      <c r="G292" t="s">
        <v>62</v>
      </c>
      <c r="H292" t="s">
        <v>62</v>
      </c>
      <c r="I292" t="s">
        <v>62</v>
      </c>
    </row>
    <row r="293" spans="1:9" x14ac:dyDescent="0.2">
      <c r="A293" s="29">
        <v>45949</v>
      </c>
      <c r="B293" t="s">
        <v>69</v>
      </c>
      <c r="C293" t="s">
        <v>59</v>
      </c>
      <c r="D293">
        <v>32</v>
      </c>
      <c r="E293">
        <v>9</v>
      </c>
      <c r="F293">
        <v>6</v>
      </c>
      <c r="G293">
        <v>7</v>
      </c>
      <c r="H293">
        <v>2</v>
      </c>
      <c r="I293">
        <v>6</v>
      </c>
    </row>
    <row r="294" spans="1:9" x14ac:dyDescent="0.2">
      <c r="A294" s="29">
        <v>45949</v>
      </c>
      <c r="B294" t="s">
        <v>69</v>
      </c>
      <c r="C294" t="s">
        <v>60</v>
      </c>
      <c r="D294" t="s">
        <v>62</v>
      </c>
      <c r="E294" t="s">
        <v>62</v>
      </c>
      <c r="F294" t="s">
        <v>62</v>
      </c>
      <c r="G294" t="s">
        <v>62</v>
      </c>
      <c r="H294" t="s">
        <v>62</v>
      </c>
      <c r="I294" t="s">
        <v>62</v>
      </c>
    </row>
    <row r="295" spans="1:9" x14ac:dyDescent="0.2">
      <c r="A295" s="29">
        <v>45949</v>
      </c>
      <c r="B295" t="s">
        <v>69</v>
      </c>
      <c r="C295" t="s">
        <v>61</v>
      </c>
      <c r="D295">
        <v>27</v>
      </c>
      <c r="E295">
        <v>29</v>
      </c>
      <c r="F295">
        <v>29</v>
      </c>
      <c r="G295">
        <v>24</v>
      </c>
      <c r="H295">
        <v>14</v>
      </c>
      <c r="I295">
        <v>29</v>
      </c>
    </row>
    <row r="296" spans="1:9" x14ac:dyDescent="0.2">
      <c r="A296" s="29">
        <v>45950</v>
      </c>
      <c r="B296" t="s">
        <v>63</v>
      </c>
      <c r="C296" t="s">
        <v>59</v>
      </c>
      <c r="D296">
        <v>27</v>
      </c>
      <c r="E296">
        <v>31</v>
      </c>
      <c r="F296">
        <v>28</v>
      </c>
      <c r="G296">
        <v>31</v>
      </c>
      <c r="H296">
        <v>22</v>
      </c>
      <c r="I296">
        <v>28</v>
      </c>
    </row>
    <row r="297" spans="1:9" x14ac:dyDescent="0.2">
      <c r="A297" s="29">
        <v>45950</v>
      </c>
      <c r="B297" t="s">
        <v>63</v>
      </c>
      <c r="C297" t="s">
        <v>60</v>
      </c>
      <c r="D297">
        <v>16</v>
      </c>
      <c r="E297">
        <v>20</v>
      </c>
      <c r="F297">
        <v>15</v>
      </c>
      <c r="G297">
        <v>13</v>
      </c>
      <c r="H297">
        <v>4</v>
      </c>
      <c r="I297">
        <v>15</v>
      </c>
    </row>
    <row r="298" spans="1:9" x14ac:dyDescent="0.2">
      <c r="A298" s="29">
        <v>45950</v>
      </c>
      <c r="B298" t="s">
        <v>63</v>
      </c>
      <c r="C298" t="s">
        <v>61</v>
      </c>
      <c r="D298">
        <v>26</v>
      </c>
      <c r="E298">
        <v>31</v>
      </c>
      <c r="F298">
        <v>29</v>
      </c>
      <c r="G298">
        <v>25</v>
      </c>
      <c r="H298">
        <v>16</v>
      </c>
      <c r="I298">
        <v>29</v>
      </c>
    </row>
    <row r="299" spans="1:9" x14ac:dyDescent="0.2">
      <c r="A299" s="29">
        <v>45951</v>
      </c>
      <c r="B299" t="s">
        <v>64</v>
      </c>
      <c r="C299" t="s">
        <v>59</v>
      </c>
      <c r="D299">
        <v>26</v>
      </c>
      <c r="E299">
        <v>33</v>
      </c>
      <c r="F299">
        <v>31</v>
      </c>
      <c r="G299">
        <v>25</v>
      </c>
      <c r="H299">
        <v>22</v>
      </c>
      <c r="I299">
        <v>31</v>
      </c>
    </row>
    <row r="300" spans="1:9" x14ac:dyDescent="0.2">
      <c r="A300" s="29">
        <v>45951</v>
      </c>
      <c r="B300" t="s">
        <v>64</v>
      </c>
      <c r="C300" t="s">
        <v>60</v>
      </c>
      <c r="D300">
        <v>16</v>
      </c>
      <c r="E300">
        <v>18</v>
      </c>
      <c r="F300">
        <v>16</v>
      </c>
      <c r="G300">
        <v>14</v>
      </c>
      <c r="H300">
        <v>6</v>
      </c>
      <c r="I300">
        <v>16</v>
      </c>
    </row>
    <row r="301" spans="1:9" x14ac:dyDescent="0.2">
      <c r="A301" s="29">
        <v>45951</v>
      </c>
      <c r="B301" t="s">
        <v>64</v>
      </c>
      <c r="C301" t="s">
        <v>61</v>
      </c>
      <c r="D301">
        <v>30</v>
      </c>
      <c r="E301">
        <v>30</v>
      </c>
      <c r="F301">
        <v>26</v>
      </c>
      <c r="G301">
        <v>25</v>
      </c>
      <c r="H301">
        <v>19</v>
      </c>
      <c r="I301">
        <v>26</v>
      </c>
    </row>
    <row r="302" spans="1:9" x14ac:dyDescent="0.2">
      <c r="A302" s="29">
        <v>45952</v>
      </c>
      <c r="B302" t="s">
        <v>65</v>
      </c>
      <c r="C302" t="s">
        <v>59</v>
      </c>
      <c r="D302">
        <v>30</v>
      </c>
      <c r="E302">
        <v>31</v>
      </c>
      <c r="F302">
        <v>28</v>
      </c>
      <c r="G302">
        <v>24</v>
      </c>
      <c r="H302">
        <v>18</v>
      </c>
      <c r="I302">
        <v>28</v>
      </c>
    </row>
    <row r="303" spans="1:9" x14ac:dyDescent="0.2">
      <c r="A303" s="29">
        <v>45952</v>
      </c>
      <c r="B303" t="s">
        <v>65</v>
      </c>
      <c r="C303" t="s">
        <v>60</v>
      </c>
      <c r="D303">
        <v>23</v>
      </c>
      <c r="E303">
        <v>20</v>
      </c>
      <c r="F303">
        <v>16</v>
      </c>
      <c r="G303">
        <v>13</v>
      </c>
      <c r="H303">
        <v>5</v>
      </c>
      <c r="I303">
        <v>16</v>
      </c>
    </row>
    <row r="304" spans="1:9" x14ac:dyDescent="0.2">
      <c r="A304" s="29">
        <v>45952</v>
      </c>
      <c r="B304" t="s">
        <v>65</v>
      </c>
      <c r="C304" t="s">
        <v>61</v>
      </c>
      <c r="D304">
        <v>32</v>
      </c>
      <c r="E304">
        <v>28</v>
      </c>
      <c r="F304">
        <v>31</v>
      </c>
      <c r="G304">
        <v>27</v>
      </c>
      <c r="H304">
        <v>12</v>
      </c>
      <c r="I304">
        <v>28</v>
      </c>
    </row>
    <row r="305" spans="1:9" x14ac:dyDescent="0.2">
      <c r="A305" s="29">
        <v>45953</v>
      </c>
      <c r="B305" t="s">
        <v>66</v>
      </c>
      <c r="C305" t="s">
        <v>59</v>
      </c>
      <c r="D305">
        <v>25</v>
      </c>
      <c r="E305">
        <v>29</v>
      </c>
      <c r="F305">
        <v>28</v>
      </c>
      <c r="G305">
        <v>25</v>
      </c>
      <c r="H305">
        <v>25</v>
      </c>
      <c r="I305">
        <v>28</v>
      </c>
    </row>
    <row r="306" spans="1:9" x14ac:dyDescent="0.2">
      <c r="A306" s="29">
        <v>45953</v>
      </c>
      <c r="B306" t="s">
        <v>66</v>
      </c>
      <c r="C306" t="s">
        <v>60</v>
      </c>
      <c r="D306">
        <v>23</v>
      </c>
      <c r="E306">
        <v>18</v>
      </c>
      <c r="F306">
        <v>15</v>
      </c>
      <c r="G306">
        <v>13</v>
      </c>
      <c r="H306">
        <v>9</v>
      </c>
      <c r="I306">
        <v>15</v>
      </c>
    </row>
    <row r="307" spans="1:9" x14ac:dyDescent="0.2">
      <c r="A307" s="29">
        <v>45953</v>
      </c>
      <c r="B307" t="s">
        <v>66</v>
      </c>
      <c r="C307" t="s">
        <v>61</v>
      </c>
      <c r="D307">
        <v>28</v>
      </c>
      <c r="E307">
        <v>29</v>
      </c>
      <c r="F307">
        <v>30</v>
      </c>
      <c r="G307">
        <v>27</v>
      </c>
      <c r="H307">
        <v>20</v>
      </c>
      <c r="I307">
        <v>29</v>
      </c>
    </row>
    <row r="308" spans="1:9" x14ac:dyDescent="0.2">
      <c r="A308" s="29">
        <v>45954</v>
      </c>
      <c r="B308" t="s">
        <v>67</v>
      </c>
      <c r="C308" t="s">
        <v>59</v>
      </c>
      <c r="D308">
        <v>27</v>
      </c>
      <c r="E308">
        <v>30</v>
      </c>
      <c r="F308">
        <v>27</v>
      </c>
      <c r="G308">
        <v>25</v>
      </c>
      <c r="H308">
        <v>18</v>
      </c>
      <c r="I308">
        <v>27</v>
      </c>
    </row>
    <row r="309" spans="1:9" x14ac:dyDescent="0.2">
      <c r="A309" s="29">
        <v>45954</v>
      </c>
      <c r="B309" t="s">
        <v>67</v>
      </c>
      <c r="C309" t="s">
        <v>60</v>
      </c>
      <c r="D309">
        <v>25</v>
      </c>
      <c r="E309">
        <v>17</v>
      </c>
      <c r="F309">
        <v>13</v>
      </c>
      <c r="G309">
        <v>12</v>
      </c>
      <c r="H309">
        <v>15</v>
      </c>
      <c r="I309">
        <v>13</v>
      </c>
    </row>
    <row r="310" spans="1:9" x14ac:dyDescent="0.2">
      <c r="A310" s="29">
        <v>45954</v>
      </c>
      <c r="B310" t="s">
        <v>67</v>
      </c>
      <c r="C310" t="s">
        <v>61</v>
      </c>
      <c r="D310">
        <v>31</v>
      </c>
      <c r="E310">
        <v>28</v>
      </c>
      <c r="F310">
        <v>32</v>
      </c>
      <c r="G310">
        <v>27</v>
      </c>
      <c r="H310">
        <v>20</v>
      </c>
      <c r="I310">
        <v>28</v>
      </c>
    </row>
    <row r="311" spans="1:9" x14ac:dyDescent="0.2">
      <c r="A311" s="29">
        <v>45955</v>
      </c>
      <c r="B311" t="s">
        <v>68</v>
      </c>
      <c r="C311" t="s">
        <v>59</v>
      </c>
      <c r="D311">
        <v>31</v>
      </c>
      <c r="E311">
        <v>26</v>
      </c>
      <c r="F311">
        <v>24</v>
      </c>
      <c r="G311">
        <v>25</v>
      </c>
      <c r="H311">
        <v>11</v>
      </c>
      <c r="I311">
        <v>24</v>
      </c>
    </row>
    <row r="312" spans="1:9" x14ac:dyDescent="0.2">
      <c r="A312" s="29">
        <v>45955</v>
      </c>
      <c r="B312" t="s">
        <v>68</v>
      </c>
      <c r="C312" t="s">
        <v>60</v>
      </c>
      <c r="D312">
        <v>27</v>
      </c>
      <c r="E312">
        <v>9</v>
      </c>
      <c r="F312">
        <v>11</v>
      </c>
      <c r="G312">
        <v>9</v>
      </c>
      <c r="H312">
        <v>7</v>
      </c>
      <c r="I312">
        <v>9</v>
      </c>
    </row>
    <row r="313" spans="1:9" x14ac:dyDescent="0.2">
      <c r="A313" s="29">
        <v>45955</v>
      </c>
      <c r="B313" t="s">
        <v>68</v>
      </c>
      <c r="C313" t="s">
        <v>61</v>
      </c>
      <c r="D313" t="s">
        <v>62</v>
      </c>
      <c r="E313" t="s">
        <v>62</v>
      </c>
      <c r="F313" t="s">
        <v>62</v>
      </c>
      <c r="G313" t="s">
        <v>62</v>
      </c>
      <c r="H313" t="s">
        <v>62</v>
      </c>
      <c r="I313" t="s">
        <v>62</v>
      </c>
    </row>
    <row r="314" spans="1:9" x14ac:dyDescent="0.2">
      <c r="A314" s="29">
        <v>45956</v>
      </c>
      <c r="B314" t="s">
        <v>69</v>
      </c>
      <c r="C314" t="s">
        <v>59</v>
      </c>
      <c r="D314">
        <v>32</v>
      </c>
      <c r="E314">
        <v>7</v>
      </c>
      <c r="F314">
        <v>2</v>
      </c>
      <c r="G314">
        <v>6</v>
      </c>
      <c r="H314">
        <v>1</v>
      </c>
      <c r="I314">
        <v>2</v>
      </c>
    </row>
    <row r="315" spans="1:9" x14ac:dyDescent="0.2">
      <c r="A315" s="29">
        <v>45956</v>
      </c>
      <c r="B315" t="s">
        <v>69</v>
      </c>
      <c r="C315" t="s">
        <v>60</v>
      </c>
      <c r="D315" t="s">
        <v>62</v>
      </c>
      <c r="E315" t="s">
        <v>62</v>
      </c>
      <c r="F315" t="s">
        <v>62</v>
      </c>
      <c r="G315" t="s">
        <v>62</v>
      </c>
      <c r="H315" t="s">
        <v>62</v>
      </c>
      <c r="I315" t="s">
        <v>62</v>
      </c>
    </row>
    <row r="316" spans="1:9" x14ac:dyDescent="0.2">
      <c r="A316" s="29">
        <v>45956</v>
      </c>
      <c r="B316" t="s">
        <v>69</v>
      </c>
      <c r="C316" t="s">
        <v>61</v>
      </c>
      <c r="D316">
        <v>26</v>
      </c>
      <c r="E316">
        <v>32</v>
      </c>
      <c r="F316">
        <v>28</v>
      </c>
      <c r="G316">
        <v>27</v>
      </c>
      <c r="H316">
        <v>21</v>
      </c>
      <c r="I316">
        <v>28</v>
      </c>
    </row>
    <row r="317" spans="1:9" x14ac:dyDescent="0.2">
      <c r="A317" s="29">
        <v>45957</v>
      </c>
      <c r="B317" t="s">
        <v>63</v>
      </c>
      <c r="C317" t="s">
        <v>59</v>
      </c>
      <c r="D317">
        <v>26</v>
      </c>
      <c r="E317">
        <v>30</v>
      </c>
      <c r="F317">
        <v>28</v>
      </c>
      <c r="G317">
        <v>25</v>
      </c>
      <c r="H317">
        <v>16</v>
      </c>
      <c r="I317">
        <v>28</v>
      </c>
    </row>
    <row r="318" spans="1:9" x14ac:dyDescent="0.2">
      <c r="A318" s="29">
        <v>45957</v>
      </c>
      <c r="B318" t="s">
        <v>63</v>
      </c>
      <c r="C318" t="s">
        <v>60</v>
      </c>
      <c r="D318">
        <v>23</v>
      </c>
      <c r="E318">
        <v>19</v>
      </c>
      <c r="F318">
        <v>15</v>
      </c>
      <c r="G318">
        <v>14</v>
      </c>
      <c r="H318">
        <v>7</v>
      </c>
      <c r="I318">
        <v>15</v>
      </c>
    </row>
    <row r="319" spans="1:9" x14ac:dyDescent="0.2">
      <c r="A319" s="29">
        <v>45957</v>
      </c>
      <c r="B319" t="s">
        <v>63</v>
      </c>
      <c r="C319" t="s">
        <v>61</v>
      </c>
      <c r="D319">
        <v>31</v>
      </c>
      <c r="E319">
        <v>32</v>
      </c>
      <c r="F319">
        <v>28</v>
      </c>
      <c r="G319">
        <v>27</v>
      </c>
      <c r="H319">
        <v>19</v>
      </c>
      <c r="I319">
        <v>28</v>
      </c>
    </row>
    <row r="320" spans="1:9" x14ac:dyDescent="0.2">
      <c r="A320" s="29">
        <v>45958</v>
      </c>
      <c r="B320" t="s">
        <v>64</v>
      </c>
      <c r="C320" t="s">
        <v>59</v>
      </c>
      <c r="D320">
        <v>29</v>
      </c>
      <c r="E320">
        <v>27</v>
      </c>
      <c r="F320">
        <v>25</v>
      </c>
      <c r="G320">
        <v>25</v>
      </c>
      <c r="H320">
        <v>21</v>
      </c>
      <c r="I320">
        <v>25</v>
      </c>
    </row>
    <row r="321" spans="1:9" x14ac:dyDescent="0.2">
      <c r="A321" s="29">
        <v>45958</v>
      </c>
      <c r="B321" t="s">
        <v>64</v>
      </c>
      <c r="C321" t="s">
        <v>60</v>
      </c>
      <c r="D321">
        <v>21</v>
      </c>
      <c r="E321">
        <v>15</v>
      </c>
      <c r="F321">
        <v>14</v>
      </c>
      <c r="G321">
        <v>13</v>
      </c>
      <c r="H321">
        <v>4</v>
      </c>
      <c r="I321">
        <v>14</v>
      </c>
    </row>
    <row r="322" spans="1:9" x14ac:dyDescent="0.2">
      <c r="A322" s="29">
        <v>45958</v>
      </c>
      <c r="B322" t="s">
        <v>64</v>
      </c>
      <c r="C322" t="s">
        <v>61</v>
      </c>
      <c r="D322" t="s">
        <v>62</v>
      </c>
      <c r="E322" t="s">
        <v>62</v>
      </c>
      <c r="F322" t="s">
        <v>62</v>
      </c>
      <c r="G322" t="s">
        <v>62</v>
      </c>
      <c r="H322" t="s">
        <v>62</v>
      </c>
      <c r="I322" t="s">
        <v>62</v>
      </c>
    </row>
    <row r="323" spans="1:9" x14ac:dyDescent="0.2">
      <c r="A323" s="29">
        <v>45959</v>
      </c>
      <c r="B323" t="s">
        <v>65</v>
      </c>
      <c r="C323" t="s">
        <v>59</v>
      </c>
      <c r="D323" t="s">
        <v>62</v>
      </c>
      <c r="E323" t="s">
        <v>62</v>
      </c>
      <c r="F323" t="s">
        <v>62</v>
      </c>
      <c r="G323" t="s">
        <v>62</v>
      </c>
      <c r="H323" t="s">
        <v>62</v>
      </c>
      <c r="I323" t="s">
        <v>62</v>
      </c>
    </row>
    <row r="324" spans="1:9" x14ac:dyDescent="0.2">
      <c r="A324" s="29">
        <v>45959</v>
      </c>
      <c r="B324" t="s">
        <v>65</v>
      </c>
      <c r="C324" t="s">
        <v>60</v>
      </c>
      <c r="D324" t="s">
        <v>62</v>
      </c>
      <c r="E324" t="s">
        <v>62</v>
      </c>
      <c r="F324" t="s">
        <v>62</v>
      </c>
      <c r="G324" t="s">
        <v>62</v>
      </c>
      <c r="H324" t="s">
        <v>62</v>
      </c>
      <c r="I324" t="s">
        <v>62</v>
      </c>
    </row>
    <row r="325" spans="1:9" x14ac:dyDescent="0.2">
      <c r="A325" s="29">
        <v>45959</v>
      </c>
      <c r="B325" t="s">
        <v>65</v>
      </c>
      <c r="C325" t="s">
        <v>61</v>
      </c>
      <c r="D325">
        <v>31</v>
      </c>
      <c r="E325">
        <v>29</v>
      </c>
      <c r="F325">
        <v>31</v>
      </c>
      <c r="G325">
        <v>26</v>
      </c>
      <c r="H325">
        <v>22</v>
      </c>
      <c r="I325">
        <v>29</v>
      </c>
    </row>
    <row r="326" spans="1:9" x14ac:dyDescent="0.2">
      <c r="A326" s="29">
        <v>45960</v>
      </c>
      <c r="B326" t="s">
        <v>66</v>
      </c>
      <c r="C326" t="s">
        <v>59</v>
      </c>
      <c r="D326">
        <v>29</v>
      </c>
      <c r="E326">
        <v>29</v>
      </c>
      <c r="F326">
        <v>26</v>
      </c>
      <c r="G326">
        <v>23</v>
      </c>
      <c r="H326">
        <v>23</v>
      </c>
      <c r="I326">
        <v>26</v>
      </c>
    </row>
    <row r="327" spans="1:9" x14ac:dyDescent="0.2">
      <c r="A327" s="29">
        <v>45960</v>
      </c>
      <c r="B327" t="s">
        <v>66</v>
      </c>
      <c r="C327" t="s">
        <v>60</v>
      </c>
      <c r="D327">
        <v>25</v>
      </c>
      <c r="E327">
        <v>17</v>
      </c>
      <c r="F327">
        <v>15</v>
      </c>
      <c r="G327">
        <v>15</v>
      </c>
      <c r="H327">
        <v>8</v>
      </c>
      <c r="I327">
        <v>15</v>
      </c>
    </row>
    <row r="328" spans="1:9" x14ac:dyDescent="0.2">
      <c r="A328" s="29">
        <v>45960</v>
      </c>
      <c r="B328" t="s">
        <v>66</v>
      </c>
      <c r="C328" t="s">
        <v>61</v>
      </c>
      <c r="D328">
        <v>33</v>
      </c>
      <c r="E328">
        <v>31</v>
      </c>
      <c r="F328">
        <v>29</v>
      </c>
      <c r="G328">
        <v>27</v>
      </c>
      <c r="H328">
        <v>18</v>
      </c>
      <c r="I328">
        <v>29</v>
      </c>
    </row>
    <row r="329" spans="1:9" x14ac:dyDescent="0.2">
      <c r="A329" s="29">
        <v>45961</v>
      </c>
      <c r="B329" t="s">
        <v>67</v>
      </c>
      <c r="C329" t="s">
        <v>59</v>
      </c>
      <c r="D329">
        <v>28</v>
      </c>
      <c r="E329">
        <v>31</v>
      </c>
      <c r="F329">
        <v>27</v>
      </c>
      <c r="G329">
        <v>23</v>
      </c>
      <c r="H329">
        <v>23</v>
      </c>
      <c r="I329">
        <v>27</v>
      </c>
    </row>
    <row r="330" spans="1:9" x14ac:dyDescent="0.2">
      <c r="A330" s="29">
        <v>45961</v>
      </c>
      <c r="B330" t="s">
        <v>67</v>
      </c>
      <c r="C330" t="s">
        <v>60</v>
      </c>
      <c r="D330">
        <v>27</v>
      </c>
      <c r="E330">
        <v>18</v>
      </c>
      <c r="F330">
        <v>16</v>
      </c>
      <c r="G330">
        <v>14</v>
      </c>
      <c r="H330">
        <v>9</v>
      </c>
      <c r="I330">
        <v>16</v>
      </c>
    </row>
    <row r="331" spans="1:9" x14ac:dyDescent="0.2">
      <c r="A331" s="29">
        <v>45961</v>
      </c>
      <c r="B331" t="s">
        <v>67</v>
      </c>
      <c r="C331" t="s">
        <v>61</v>
      </c>
      <c r="D331">
        <v>30</v>
      </c>
      <c r="E331">
        <v>32</v>
      </c>
      <c r="F331">
        <v>32</v>
      </c>
      <c r="G331">
        <v>27</v>
      </c>
      <c r="H331">
        <v>19</v>
      </c>
      <c r="I331">
        <v>32</v>
      </c>
    </row>
    <row r="332" spans="1:9" x14ac:dyDescent="0.2">
      <c r="A332" s="29">
        <v>45962</v>
      </c>
      <c r="B332" t="s">
        <v>68</v>
      </c>
      <c r="C332" t="s">
        <v>59</v>
      </c>
      <c r="D332">
        <v>29</v>
      </c>
      <c r="E332">
        <v>25</v>
      </c>
      <c r="F332">
        <v>22</v>
      </c>
      <c r="G332">
        <v>21</v>
      </c>
      <c r="H332">
        <v>21</v>
      </c>
      <c r="I332">
        <v>22</v>
      </c>
    </row>
    <row r="333" spans="1:9" x14ac:dyDescent="0.2">
      <c r="A333" s="29">
        <v>45962</v>
      </c>
      <c r="B333" t="s">
        <v>68</v>
      </c>
      <c r="C333" t="s">
        <v>60</v>
      </c>
      <c r="D333">
        <v>19</v>
      </c>
      <c r="E333">
        <v>14</v>
      </c>
      <c r="F333">
        <v>12</v>
      </c>
      <c r="G333">
        <v>12</v>
      </c>
      <c r="H333">
        <v>5</v>
      </c>
      <c r="I333">
        <v>12</v>
      </c>
    </row>
    <row r="334" spans="1:9" x14ac:dyDescent="0.2">
      <c r="A334" s="29">
        <v>45962</v>
      </c>
      <c r="B334" t="s">
        <v>68</v>
      </c>
      <c r="C334" t="s">
        <v>61</v>
      </c>
      <c r="D334" t="s">
        <v>62</v>
      </c>
      <c r="E334" t="s">
        <v>62</v>
      </c>
      <c r="F334" t="s">
        <v>62</v>
      </c>
      <c r="G334" t="s">
        <v>62</v>
      </c>
      <c r="H334" t="s">
        <v>62</v>
      </c>
      <c r="I334" t="s">
        <v>62</v>
      </c>
    </row>
    <row r="335" spans="1:9" x14ac:dyDescent="0.2">
      <c r="A335" s="29">
        <v>45963</v>
      </c>
      <c r="B335" t="s">
        <v>69</v>
      </c>
      <c r="C335" t="s">
        <v>59</v>
      </c>
      <c r="D335">
        <v>27</v>
      </c>
      <c r="E335">
        <v>8</v>
      </c>
      <c r="F335">
        <v>4</v>
      </c>
      <c r="G335">
        <v>3</v>
      </c>
      <c r="H335">
        <v>3</v>
      </c>
      <c r="I335">
        <v>4</v>
      </c>
    </row>
    <row r="336" spans="1:9" x14ac:dyDescent="0.2">
      <c r="A336" s="29">
        <v>45963</v>
      </c>
      <c r="B336" t="s">
        <v>69</v>
      </c>
      <c r="C336" t="s">
        <v>60</v>
      </c>
      <c r="D336" t="s">
        <v>62</v>
      </c>
      <c r="E336" t="s">
        <v>62</v>
      </c>
      <c r="F336" t="s">
        <v>62</v>
      </c>
      <c r="G336" t="s">
        <v>62</v>
      </c>
      <c r="H336" t="s">
        <v>62</v>
      </c>
      <c r="I336" t="s">
        <v>62</v>
      </c>
    </row>
    <row r="337" spans="1:9" x14ac:dyDescent="0.2">
      <c r="A337" s="29">
        <v>45963</v>
      </c>
      <c r="B337" t="s">
        <v>69</v>
      </c>
      <c r="C337" t="s">
        <v>61</v>
      </c>
      <c r="D337">
        <v>31</v>
      </c>
      <c r="E337">
        <v>22</v>
      </c>
      <c r="F337">
        <v>23</v>
      </c>
      <c r="G337">
        <v>19</v>
      </c>
      <c r="H337">
        <v>18</v>
      </c>
      <c r="I337">
        <v>22</v>
      </c>
    </row>
    <row r="338" spans="1:9" x14ac:dyDescent="0.2">
      <c r="A338" s="29">
        <v>45964</v>
      </c>
      <c r="B338" t="s">
        <v>63</v>
      </c>
      <c r="C338" t="s">
        <v>59</v>
      </c>
      <c r="D338">
        <v>28</v>
      </c>
      <c r="E338">
        <v>31</v>
      </c>
      <c r="F338">
        <v>26</v>
      </c>
      <c r="G338">
        <v>24</v>
      </c>
      <c r="H338">
        <v>25</v>
      </c>
      <c r="I338">
        <v>26</v>
      </c>
    </row>
    <row r="339" spans="1:9" x14ac:dyDescent="0.2">
      <c r="A339" s="29">
        <v>45964</v>
      </c>
      <c r="B339" t="s">
        <v>63</v>
      </c>
      <c r="C339" t="s">
        <v>60</v>
      </c>
      <c r="D339">
        <v>20</v>
      </c>
      <c r="E339">
        <v>20</v>
      </c>
      <c r="F339">
        <v>16</v>
      </c>
      <c r="G339">
        <v>14</v>
      </c>
      <c r="H339">
        <v>7</v>
      </c>
      <c r="I339">
        <v>16</v>
      </c>
    </row>
    <row r="340" spans="1:9" x14ac:dyDescent="0.2">
      <c r="A340" s="29">
        <v>45964</v>
      </c>
      <c r="B340" t="s">
        <v>63</v>
      </c>
      <c r="C340" t="s">
        <v>61</v>
      </c>
      <c r="D340">
        <v>32</v>
      </c>
      <c r="E340">
        <v>27</v>
      </c>
      <c r="F340">
        <v>25</v>
      </c>
      <c r="G340">
        <v>22</v>
      </c>
      <c r="H340">
        <v>10</v>
      </c>
      <c r="I340">
        <v>25</v>
      </c>
    </row>
    <row r="341" spans="1:9" x14ac:dyDescent="0.2">
      <c r="A341" s="29">
        <v>45965</v>
      </c>
      <c r="B341" t="s">
        <v>64</v>
      </c>
      <c r="C341" t="s">
        <v>59</v>
      </c>
      <c r="D341">
        <v>33</v>
      </c>
      <c r="E341">
        <v>27</v>
      </c>
      <c r="F341">
        <v>25</v>
      </c>
      <c r="G341">
        <v>27</v>
      </c>
      <c r="H341">
        <v>21</v>
      </c>
      <c r="I341">
        <v>25</v>
      </c>
    </row>
    <row r="342" spans="1:9" x14ac:dyDescent="0.2">
      <c r="A342" s="29">
        <v>45965</v>
      </c>
      <c r="B342" t="s">
        <v>64</v>
      </c>
      <c r="C342" t="s">
        <v>60</v>
      </c>
      <c r="D342">
        <v>27</v>
      </c>
      <c r="E342">
        <v>17</v>
      </c>
      <c r="F342">
        <v>15</v>
      </c>
      <c r="G342">
        <v>13</v>
      </c>
      <c r="H342">
        <v>10</v>
      </c>
      <c r="I342">
        <v>15</v>
      </c>
    </row>
    <row r="343" spans="1:9" x14ac:dyDescent="0.2">
      <c r="A343" s="29">
        <v>45965</v>
      </c>
      <c r="B343" t="s">
        <v>64</v>
      </c>
      <c r="C343" t="s">
        <v>61</v>
      </c>
      <c r="D343">
        <v>30</v>
      </c>
      <c r="E343">
        <v>25</v>
      </c>
      <c r="F343">
        <v>22</v>
      </c>
      <c r="G343">
        <v>21</v>
      </c>
      <c r="H343">
        <v>14</v>
      </c>
      <c r="I343">
        <v>22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" customWidth="1"/>
    <col min="2" max="2" width="18.7109375" customWidth="1"/>
    <col min="3" max="3" width="28.140625" customWidth="1"/>
    <col min="4" max="4" width="26.7109375" customWidth="1"/>
    <col min="5" max="5" width="20.85546875" customWidth="1"/>
    <col min="6" max="6" width="9.42578125" customWidth="1"/>
    <col min="7" max="7" width="19.140625" customWidth="1"/>
  </cols>
  <sheetData>
    <row r="1" spans="1:10" ht="15.75" customHeight="1" x14ac:dyDescent="0.25">
      <c r="A1" s="5" t="s">
        <v>0</v>
      </c>
      <c r="B1" s="5" t="s">
        <v>16</v>
      </c>
      <c r="C1" s="5" t="s">
        <v>17</v>
      </c>
      <c r="D1" s="5" t="s">
        <v>18</v>
      </c>
      <c r="E1" s="2" t="s">
        <v>19</v>
      </c>
      <c r="F1" s="2" t="s">
        <v>20</v>
      </c>
      <c r="G1" s="2" t="s">
        <v>21</v>
      </c>
    </row>
    <row r="2" spans="1:10" ht="15.75" customHeight="1" x14ac:dyDescent="0.25">
      <c r="A2" s="6">
        <v>45869</v>
      </c>
      <c r="B2" s="7">
        <v>32</v>
      </c>
      <c r="C2" s="7">
        <v>5</v>
      </c>
      <c r="D2" s="7">
        <f t="shared" ref="D2:D47" si="0">SUM(B2:C2)</f>
        <v>37</v>
      </c>
      <c r="E2" s="2" t="s">
        <v>22</v>
      </c>
      <c r="F2" s="2">
        <v>102421</v>
      </c>
      <c r="G2" s="8">
        <v>46022</v>
      </c>
      <c r="H2" s="9"/>
    </row>
    <row r="3" spans="1:10" ht="15.75" customHeight="1" x14ac:dyDescent="0.25">
      <c r="A3" s="6">
        <v>45870</v>
      </c>
      <c r="B3" s="7">
        <v>55</v>
      </c>
      <c r="C3" s="7">
        <v>28.6</v>
      </c>
      <c r="D3" s="7">
        <f t="shared" si="0"/>
        <v>83.6</v>
      </c>
      <c r="E3" s="2" t="s">
        <v>23</v>
      </c>
      <c r="F3" s="2">
        <v>102423</v>
      </c>
      <c r="G3" s="10">
        <v>45930</v>
      </c>
      <c r="H3" s="9"/>
    </row>
    <row r="4" spans="1:10" ht="15.75" customHeight="1" x14ac:dyDescent="0.25">
      <c r="A4" s="6">
        <v>45871</v>
      </c>
      <c r="B4" s="7">
        <v>41</v>
      </c>
      <c r="C4" s="7">
        <v>27</v>
      </c>
      <c r="D4" s="7">
        <f t="shared" si="0"/>
        <v>68</v>
      </c>
      <c r="E4" s="2" t="s">
        <v>24</v>
      </c>
      <c r="F4" s="2">
        <v>102422</v>
      </c>
      <c r="G4" s="8">
        <v>45961</v>
      </c>
      <c r="H4" s="9"/>
    </row>
    <row r="5" spans="1:10" ht="15.75" customHeight="1" x14ac:dyDescent="0.25">
      <c r="A5" s="6">
        <v>45872</v>
      </c>
      <c r="B5" s="7">
        <v>0</v>
      </c>
      <c r="C5" s="7">
        <v>0</v>
      </c>
      <c r="D5" s="7">
        <f t="shared" si="0"/>
        <v>0</v>
      </c>
      <c r="H5" s="9"/>
      <c r="I5" s="9"/>
      <c r="J5" s="9"/>
    </row>
    <row r="6" spans="1:10" ht="15.75" customHeight="1" x14ac:dyDescent="0.25">
      <c r="A6" s="6">
        <v>45873</v>
      </c>
      <c r="B6" s="7">
        <v>58</v>
      </c>
      <c r="C6" s="7">
        <v>27</v>
      </c>
      <c r="D6" s="7">
        <f t="shared" si="0"/>
        <v>85</v>
      </c>
    </row>
    <row r="7" spans="1:10" ht="15.75" customHeight="1" x14ac:dyDescent="0.25">
      <c r="A7" s="6">
        <v>45874</v>
      </c>
      <c r="B7" s="7">
        <v>51</v>
      </c>
      <c r="C7" s="7">
        <v>23</v>
      </c>
      <c r="D7" s="7">
        <f t="shared" si="0"/>
        <v>74</v>
      </c>
    </row>
    <row r="8" spans="1:10" ht="15.75" customHeight="1" x14ac:dyDescent="0.25">
      <c r="A8" s="6">
        <v>45875</v>
      </c>
      <c r="B8" s="7">
        <v>60</v>
      </c>
      <c r="C8" s="7">
        <v>22</v>
      </c>
      <c r="D8" s="7">
        <f t="shared" si="0"/>
        <v>82</v>
      </c>
    </row>
    <row r="9" spans="1:10" ht="15.75" customHeight="1" x14ac:dyDescent="0.25">
      <c r="A9" s="6">
        <v>45876</v>
      </c>
      <c r="B9" s="7">
        <v>72</v>
      </c>
      <c r="C9" s="7">
        <v>23</v>
      </c>
      <c r="D9" s="7">
        <f t="shared" si="0"/>
        <v>95</v>
      </c>
    </row>
    <row r="10" spans="1:10" ht="15.75" customHeight="1" x14ac:dyDescent="0.25">
      <c r="A10" s="6">
        <v>45877</v>
      </c>
      <c r="B10" s="7">
        <v>41</v>
      </c>
      <c r="C10" s="7">
        <v>19</v>
      </c>
      <c r="D10" s="7">
        <f t="shared" si="0"/>
        <v>60</v>
      </c>
    </row>
    <row r="11" spans="1:10" ht="15.75" customHeight="1" x14ac:dyDescent="0.25">
      <c r="A11" s="6">
        <v>45878</v>
      </c>
      <c r="B11" s="7">
        <v>32</v>
      </c>
      <c r="C11" s="7">
        <v>22</v>
      </c>
      <c r="D11" s="7">
        <f t="shared" si="0"/>
        <v>54</v>
      </c>
    </row>
    <row r="12" spans="1:10" ht="15.75" customHeight="1" x14ac:dyDescent="0.25">
      <c r="A12" s="6">
        <v>45879</v>
      </c>
      <c r="B12" s="7">
        <v>4</v>
      </c>
      <c r="C12" s="7">
        <v>0</v>
      </c>
      <c r="D12" s="7">
        <f t="shared" si="0"/>
        <v>4</v>
      </c>
    </row>
    <row r="13" spans="1:10" ht="15.75" customHeight="1" x14ac:dyDescent="0.25">
      <c r="A13" s="6">
        <v>45880</v>
      </c>
      <c r="B13" s="7">
        <v>45</v>
      </c>
      <c r="C13" s="7">
        <v>25</v>
      </c>
      <c r="D13" s="7">
        <f t="shared" si="0"/>
        <v>70</v>
      </c>
    </row>
    <row r="14" spans="1:10" ht="15.75" customHeight="1" x14ac:dyDescent="0.25">
      <c r="A14" s="6">
        <v>45881</v>
      </c>
      <c r="B14" s="7">
        <v>0</v>
      </c>
      <c r="C14" s="7">
        <v>17</v>
      </c>
      <c r="D14" s="7">
        <f t="shared" si="0"/>
        <v>17</v>
      </c>
    </row>
    <row r="15" spans="1:10" ht="15.75" customHeight="1" x14ac:dyDescent="0.25">
      <c r="A15" s="6">
        <v>45882</v>
      </c>
      <c r="B15" s="7">
        <v>28</v>
      </c>
      <c r="C15" s="7">
        <v>28</v>
      </c>
      <c r="D15" s="7">
        <f t="shared" si="0"/>
        <v>56</v>
      </c>
    </row>
    <row r="16" spans="1:10" ht="15.75" customHeight="1" x14ac:dyDescent="0.25">
      <c r="A16" s="6">
        <v>45883</v>
      </c>
      <c r="B16" s="7">
        <v>38</v>
      </c>
      <c r="C16" s="7">
        <v>18</v>
      </c>
      <c r="D16" s="7">
        <f t="shared" si="0"/>
        <v>56</v>
      </c>
    </row>
    <row r="17" spans="1:4" ht="15.75" customHeight="1" x14ac:dyDescent="0.25">
      <c r="A17" s="11">
        <v>45884</v>
      </c>
      <c r="B17" s="7">
        <v>18</v>
      </c>
      <c r="C17" s="7">
        <v>19</v>
      </c>
      <c r="D17" s="7">
        <f t="shared" si="0"/>
        <v>37</v>
      </c>
    </row>
    <row r="18" spans="1:4" ht="15.75" customHeight="1" x14ac:dyDescent="0.25">
      <c r="A18" s="6">
        <v>45885</v>
      </c>
      <c r="B18" s="7">
        <v>23</v>
      </c>
      <c r="C18" s="7">
        <v>18</v>
      </c>
      <c r="D18" s="7">
        <f t="shared" si="0"/>
        <v>41</v>
      </c>
    </row>
    <row r="19" spans="1:4" ht="15.75" customHeight="1" x14ac:dyDescent="0.25">
      <c r="A19" s="6">
        <v>45886</v>
      </c>
      <c r="B19" s="7">
        <v>0</v>
      </c>
      <c r="C19" s="7">
        <v>0</v>
      </c>
      <c r="D19" s="7">
        <f t="shared" si="0"/>
        <v>0</v>
      </c>
    </row>
    <row r="20" spans="1:4" ht="15.75" customHeight="1" x14ac:dyDescent="0.25">
      <c r="A20" s="6">
        <v>45887</v>
      </c>
      <c r="B20" s="7">
        <v>24</v>
      </c>
      <c r="C20" s="7">
        <v>19</v>
      </c>
      <c r="D20" s="7">
        <f t="shared" si="0"/>
        <v>43</v>
      </c>
    </row>
    <row r="21" spans="1:4" ht="15.75" customHeight="1" x14ac:dyDescent="0.25">
      <c r="A21" s="6">
        <v>45888</v>
      </c>
      <c r="B21" s="7">
        <v>46</v>
      </c>
      <c r="C21" s="7">
        <v>19</v>
      </c>
      <c r="D21" s="7">
        <f t="shared" si="0"/>
        <v>65</v>
      </c>
    </row>
    <row r="22" spans="1:4" ht="15.75" customHeight="1" x14ac:dyDescent="0.25">
      <c r="A22" s="6">
        <v>45889</v>
      </c>
      <c r="B22" s="7">
        <v>44</v>
      </c>
      <c r="C22" s="7">
        <v>18</v>
      </c>
      <c r="D22" s="7">
        <f t="shared" si="0"/>
        <v>62</v>
      </c>
    </row>
    <row r="23" spans="1:4" ht="15.75" customHeight="1" x14ac:dyDescent="0.25">
      <c r="A23" s="6">
        <v>45890</v>
      </c>
      <c r="B23" s="7">
        <v>24</v>
      </c>
      <c r="C23" s="7">
        <v>18</v>
      </c>
      <c r="D23" s="7">
        <f t="shared" si="0"/>
        <v>42</v>
      </c>
    </row>
    <row r="24" spans="1:4" ht="15.75" customHeight="1" x14ac:dyDescent="0.25">
      <c r="A24" s="6">
        <v>45891</v>
      </c>
      <c r="B24" s="7">
        <v>25</v>
      </c>
      <c r="C24" s="7">
        <v>19</v>
      </c>
      <c r="D24" s="7">
        <f t="shared" si="0"/>
        <v>44</v>
      </c>
    </row>
    <row r="25" spans="1:4" ht="15.75" customHeight="1" x14ac:dyDescent="0.25">
      <c r="A25" s="6">
        <v>45892</v>
      </c>
      <c r="B25" s="7">
        <v>3</v>
      </c>
      <c r="C25" s="7">
        <v>7</v>
      </c>
      <c r="D25" s="7">
        <f t="shared" si="0"/>
        <v>10</v>
      </c>
    </row>
    <row r="26" spans="1:4" ht="15.75" customHeight="1" x14ac:dyDescent="0.25">
      <c r="A26" s="6">
        <v>45893</v>
      </c>
      <c r="B26" s="7">
        <v>0</v>
      </c>
      <c r="C26" s="7">
        <v>0</v>
      </c>
      <c r="D26" s="7">
        <f t="shared" si="0"/>
        <v>0</v>
      </c>
    </row>
    <row r="27" spans="1:4" ht="15.75" customHeight="1" x14ac:dyDescent="0.25">
      <c r="A27" s="6">
        <v>45894</v>
      </c>
      <c r="B27" s="7">
        <v>0</v>
      </c>
      <c r="C27" s="7">
        <v>0</v>
      </c>
      <c r="D27" s="7">
        <f t="shared" si="0"/>
        <v>0</v>
      </c>
    </row>
    <row r="28" spans="1:4" ht="15.75" customHeight="1" x14ac:dyDescent="0.25">
      <c r="A28" s="6">
        <v>45895</v>
      </c>
      <c r="B28" s="7">
        <v>34</v>
      </c>
      <c r="C28" s="7">
        <v>6</v>
      </c>
      <c r="D28" s="7">
        <f t="shared" si="0"/>
        <v>40</v>
      </c>
    </row>
    <row r="29" spans="1:4" ht="15.75" customHeight="1" x14ac:dyDescent="0.25">
      <c r="A29" s="6">
        <v>45896</v>
      </c>
      <c r="B29" s="7">
        <v>25</v>
      </c>
      <c r="C29" s="7">
        <v>6</v>
      </c>
      <c r="D29" s="7">
        <f t="shared" si="0"/>
        <v>31</v>
      </c>
    </row>
    <row r="30" spans="1:4" ht="15.75" customHeight="1" x14ac:dyDescent="0.25">
      <c r="A30" s="6">
        <v>45900</v>
      </c>
      <c r="B30" s="7">
        <v>0</v>
      </c>
      <c r="C30" s="7">
        <v>0</v>
      </c>
      <c r="D30" s="7">
        <f t="shared" si="0"/>
        <v>0</v>
      </c>
    </row>
    <row r="31" spans="1:4" ht="15.75" customHeight="1" x14ac:dyDescent="0.25">
      <c r="A31" s="6">
        <v>45901</v>
      </c>
      <c r="B31" s="2">
        <v>26</v>
      </c>
      <c r="C31" s="2">
        <v>20</v>
      </c>
      <c r="D31" s="7">
        <f t="shared" si="0"/>
        <v>46</v>
      </c>
    </row>
    <row r="32" spans="1:4" ht="15.75" customHeight="1" x14ac:dyDescent="0.25">
      <c r="A32" s="6">
        <v>45902</v>
      </c>
      <c r="B32" s="2">
        <v>59</v>
      </c>
      <c r="C32" s="2">
        <v>18</v>
      </c>
      <c r="D32" s="7">
        <f t="shared" si="0"/>
        <v>77</v>
      </c>
    </row>
    <row r="33" spans="1:4" ht="15.75" customHeight="1" x14ac:dyDescent="0.25">
      <c r="A33" s="6">
        <v>45903</v>
      </c>
      <c r="B33" s="2">
        <v>54</v>
      </c>
      <c r="C33" s="2">
        <v>22</v>
      </c>
      <c r="D33" s="7">
        <f t="shared" si="0"/>
        <v>76</v>
      </c>
    </row>
    <row r="34" spans="1:4" ht="15.75" customHeight="1" x14ac:dyDescent="0.25">
      <c r="A34" s="6">
        <v>45904</v>
      </c>
      <c r="B34" s="2">
        <v>73</v>
      </c>
      <c r="C34" s="2">
        <v>22</v>
      </c>
      <c r="D34" s="7">
        <f t="shared" si="0"/>
        <v>95</v>
      </c>
    </row>
    <row r="35" spans="1:4" ht="15.75" customHeight="1" x14ac:dyDescent="0.25">
      <c r="A35" s="6">
        <v>45905</v>
      </c>
      <c r="B35" s="12">
        <v>31</v>
      </c>
      <c r="C35" s="2">
        <v>17</v>
      </c>
      <c r="D35" s="7">
        <f t="shared" si="0"/>
        <v>48</v>
      </c>
    </row>
    <row r="36" spans="1:4" x14ac:dyDescent="0.25">
      <c r="A36" s="6">
        <v>45906</v>
      </c>
      <c r="B36" s="2">
        <v>58</v>
      </c>
      <c r="C36" s="2">
        <v>16</v>
      </c>
      <c r="D36" s="7">
        <f t="shared" si="0"/>
        <v>74</v>
      </c>
    </row>
    <row r="37" spans="1:4" x14ac:dyDescent="0.25">
      <c r="A37" s="6">
        <v>45907</v>
      </c>
      <c r="B37" s="2">
        <v>13</v>
      </c>
      <c r="C37" s="2">
        <v>2</v>
      </c>
      <c r="D37" s="7">
        <f t="shared" si="0"/>
        <v>15</v>
      </c>
    </row>
    <row r="38" spans="1:4" x14ac:dyDescent="0.25">
      <c r="A38" s="6">
        <v>45908</v>
      </c>
      <c r="B38" s="2">
        <v>50</v>
      </c>
      <c r="C38" s="2">
        <v>20</v>
      </c>
      <c r="D38" s="7">
        <f t="shared" si="0"/>
        <v>70</v>
      </c>
    </row>
    <row r="39" spans="1:4" x14ac:dyDescent="0.25">
      <c r="A39" s="6">
        <v>45909</v>
      </c>
      <c r="B39" s="2">
        <v>40</v>
      </c>
      <c r="C39" s="2">
        <v>21</v>
      </c>
      <c r="D39" s="7">
        <f t="shared" si="0"/>
        <v>61</v>
      </c>
    </row>
    <row r="40" spans="1:4" x14ac:dyDescent="0.25">
      <c r="A40" s="6">
        <v>45910</v>
      </c>
      <c r="B40" s="2">
        <v>23</v>
      </c>
      <c r="C40" s="2">
        <v>17</v>
      </c>
      <c r="D40" s="7">
        <f t="shared" si="0"/>
        <v>40</v>
      </c>
    </row>
    <row r="41" spans="1:4" x14ac:dyDescent="0.25">
      <c r="A41" s="6">
        <v>45911</v>
      </c>
      <c r="B41" s="2">
        <v>14</v>
      </c>
      <c r="C41" s="2">
        <v>20</v>
      </c>
      <c r="D41" s="7">
        <f t="shared" si="0"/>
        <v>34</v>
      </c>
    </row>
    <row r="42" spans="1:4" x14ac:dyDescent="0.25">
      <c r="A42" s="6">
        <v>45912</v>
      </c>
      <c r="B42" s="2">
        <v>30</v>
      </c>
      <c r="C42" s="2">
        <v>16</v>
      </c>
      <c r="D42" s="7">
        <f t="shared" si="0"/>
        <v>46</v>
      </c>
    </row>
    <row r="43" spans="1:4" x14ac:dyDescent="0.25">
      <c r="A43" s="6">
        <v>45913</v>
      </c>
      <c r="B43" s="2">
        <v>19</v>
      </c>
      <c r="C43" s="2">
        <v>17</v>
      </c>
      <c r="D43" s="7">
        <f t="shared" si="0"/>
        <v>36</v>
      </c>
    </row>
    <row r="44" spans="1:4" x14ac:dyDescent="0.25">
      <c r="A44" s="6">
        <v>45914</v>
      </c>
      <c r="B44" s="2">
        <v>0</v>
      </c>
      <c r="C44" s="2">
        <v>1</v>
      </c>
      <c r="D44" s="7">
        <f t="shared" si="0"/>
        <v>1</v>
      </c>
    </row>
    <row r="45" spans="1:4" x14ac:dyDescent="0.25">
      <c r="A45" s="6">
        <v>45915</v>
      </c>
      <c r="B45" s="2">
        <v>45</v>
      </c>
      <c r="C45" s="2">
        <v>24</v>
      </c>
      <c r="D45" s="7">
        <f t="shared" si="0"/>
        <v>69</v>
      </c>
    </row>
    <row r="46" spans="1:4" x14ac:dyDescent="0.25">
      <c r="A46" s="6">
        <v>45916</v>
      </c>
      <c r="B46" s="2">
        <v>47</v>
      </c>
      <c r="C46" s="2">
        <v>21</v>
      </c>
      <c r="D46" s="7">
        <f t="shared" si="0"/>
        <v>68</v>
      </c>
    </row>
    <row r="47" spans="1:4" x14ac:dyDescent="0.25">
      <c r="A47" s="6">
        <v>45917</v>
      </c>
      <c r="B47" s="2">
        <v>40</v>
      </c>
      <c r="C47" s="2">
        <v>23</v>
      </c>
      <c r="D47" s="7">
        <f t="shared" si="0"/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ADC6A3-D780-4D00-8D76-A85196427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vaciados por dia</vt:lpstr>
      <vt:lpstr>PlanificadosVaciados</vt:lpstr>
      <vt:lpstr>Promedio semanal</vt:lpstr>
      <vt:lpstr>Disponibilidad</vt:lpstr>
      <vt:lpstr>Basurales</vt:lpstr>
      <vt:lpstr>Tabla_total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Liotti</cp:lastModifiedBy>
  <dcterms:modified xsi:type="dcterms:W3CDTF">2025-11-13T17:52:21Z</dcterms:modified>
</cp:coreProperties>
</file>